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Journal!$A$1:$G$54</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57" i="1" l="1"/>
  <c r="B56" i="1"/>
  <c r="B55" i="1"/>
  <c r="B54" i="1"/>
  <c r="B53" i="1"/>
  <c r="B52" i="1"/>
  <c r="B51" i="1"/>
  <c r="B50" i="1"/>
  <c r="B49" i="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<sst xmlns="http://schemas.openxmlformats.org/spreadsheetml/2006/main" count="158" uniqueCount="97">
  <si>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</si>
  <si>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</si>
  <si>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</si>
  <si>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</si>
  <si>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</si>
  <si>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</si>
  <si>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</si>
  <si>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</si>
  <si>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</si>
  <si>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</si>
  <si>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</si>
  <si>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</si>
  <si>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</si>
  <si>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</si>
  <si>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</si>
  <si>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</si>
  <si>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</si>
  <si>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</si>
  <si>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</si>
  <si>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</si>
  <si>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</si>
  <si>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</si>
  <si>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</si>
  <si>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</si>
  <si>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</si>
  <si>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</si>
  <si>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</si>
  <si>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</si>
  <si>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</si>
  <si>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</si>
  <si>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</si>
  <si>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</si>
  <si>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</si>
  <si>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</si>
  <si>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</si>
  <si>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</si>
  <si>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</si>
  <si>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</si>
  <si>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</si>
  <si>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</si>
  <si>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</si>
  <si>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</si>
  <si>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</si>
  <si>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</si>
  <si>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</si>
  <si>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</si>
  <si>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</si>
  <si>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</si>
  <si>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</si>
  <si>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</si>
  <si>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</si>
  <si>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</si>
  <si>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</si>
  <si>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</si>
  <si>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</si>
  <si>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</si>
  <si>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</si>
  <si>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</si>
  <si>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</si>
  <si>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</si>
  <si>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</si>
  <si>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</si>
  <si>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</si>
  <si>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</si>
  <si>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</si>
  <si>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</si>
  <si>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</si>
  <si>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</si>
  <si>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</si>
  <si>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</si>
  <si>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</si>
  <si>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</si>
  <si>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</si>
  <si>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</si>
  <si>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</si>
  <si>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</si>
  <si>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</si>
  <si>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</si>
  <si>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</si>
  <si>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</si>
  <si>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</si>
  <si>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</si>
  <si>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</si>
  <si>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</si>
  <si>
    <t>Affectation d'un pilote à un vol - updatePiltosCurrentLocation</t>
  </si>
  <si>
    <t>La méthode qui maj la localisation actuelle des pilotes est implémentée, il reste les tests a faire avec les dates.</t>
  </si>
  <si>
    <t>Affectation d'un pilote à un vol - RemovePilotsNoRestSinceLastFlight</t>
  </si>
  <si>
    <t>La liste des pilotes disponibles comprend tous les pilotes; moins ceux qui n'on pas eu le temps (12H) de récupérer après leur dernier vol;moins ceux qui ne sont pas dans l'aéroport de départ du vol (reste a maj la localisation actuelle du pilote)</t>
  </si>
  <si>
    <t>Il y avait un problème de lecture dans la base de données………………….</t>
  </si>
  <si>
    <t>Affectation d'un pilote à un vol - updatePiltosCurrentLocation - Test</t>
  </si>
  <si>
    <t>La méthode fonctionne</t>
  </si>
  <si>
    <t>https://stackoverflow.com/questions/38039/how-can-i-get-the-datetime-for-the-start-of-the-week</t>
  </si>
  <si>
    <t xml:space="preserve">Pour l'instant j'arrive a savoir quels pilotes ont eu des jours de repos cette semaine. Maintenant il faut que je sache si ceux qui n'ont pas encore eu de jours de repos cette semaine ont le temps de faire un vol allé-retour (ou retour si ils ne sont pas dans leur aéroports d'affectation) et de se reposer 2 jours apres ce vol ou pas                                              </t>
  </si>
  <si>
    <t>Commentaires/refactoring</t>
  </si>
  <si>
    <t>Affectation d'un pilote à un vol - RemovePilotsInVacation</t>
  </si>
  <si>
    <t>Affectation d'un pilote à un vol - RemovePilotsIfPilotHasntRestThisWeek()</t>
  </si>
  <si>
    <t>La fonction ne fonctionne pas, je ne pense pas avoir le temps de l'implémenter si je veux faire les tests automatiques pour l'affectation des pilotes à un vol et implémenter la génération du planning. J'ai fait le pseudo code de la fonction. Il faut que je regarde avec Mme Andolfatto afin de savoir quoi faire. Abandon de cette partie ? ou est ce que j'abandonne la génération du planing et je me concentre sur cette fonction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</si>
</sst>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6" fillId="0" borderId="0" xfId="1" applyAlignment="1" applyProtection="1">
      <alignment horizontal="left" vertical="center" wrapText="1"/>
      <protection locked="0"/>
    </xf>
    <xf numFmtId="0" fontId="3" fillId="0" borderId="0" xfId="0" applyFont="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vmlDrawing" Target="../drawings/vmlDrawing1.vml"/><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stackoverflow.com/questions/38039/how-can-i-get-the-datetime-for-the-start-of-the-week"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7"/>
  <sheetViews>
    <sheetView tabSelected="1" topLeftCell="A46" zoomScale="70" zoomScaleNormal="70" zoomScaleSheetLayoutView="115" workbookViewId="0">
      <selection activeCell="F57" sqref="F57"/>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7" width="54.28515625" style="11" customWidth="1"/>
    <col min="8" max="16384" width="9.140625" style="11"/>
  </cols>
  <sheetData>
    <row r="1" spans="1:9" s="21" customFormat="1" ht="14.1" customHeight="1" x14ac:dyDescent="0.2">
      <c r="A1" s="29" t="s">
        <v>16</v>
      </c>
      <c r="B1" s="29"/>
      <c r="C1" s="29"/>
      <c r="D1" s="29"/>
      <c r="E1" s="29"/>
      <c r="F1" s="29"/>
    </row>
    <row r="2" spans="1:9" s="21" customFormat="1" ht="14.25" x14ac:dyDescent="0.2">
      <c r="A2" s="29"/>
      <c r="B2" s="29"/>
      <c r="C2" s="29"/>
      <c r="D2" s="29"/>
      <c r="E2" s="29"/>
      <c r="F2" s="29"/>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43243</v>
      </c>
      <c r="B48" s="19">
        <f t="shared" ref="B48" si="40">WEEKNUM(A48)</f>
        <v>21</v>
      </c>
      <c r="C48" s="12">
        <v>0.66666000000000003</v>
      </c>
      <c r="D48" s="13" t="s">
        <v>6</v>
      </c>
      <c r="E48" s="14" t="s">
        <v>80</v>
      </c>
      <c r="F48" s="14" t="s">
        <v>82</v>
      </c>
    </row>
    <row r="49" spans="1:7" x14ac:dyDescent="0.25">
      <c r="A49" s="7">
        <v>43243</v>
      </c>
      <c r="B49" s="19">
        <f t="shared" ref="B49" si="41">WEEKNUM(A49)</f>
        <v>21</v>
      </c>
      <c r="C49" s="12">
        <v>0.25</v>
      </c>
      <c r="D49" s="13" t="s">
        <v>8</v>
      </c>
      <c r="E49" s="14" t="s">
        <v>83</v>
      </c>
      <c r="F49" s="14"/>
    </row>
    <row r="50" spans="1:7" ht="45" x14ac:dyDescent="0.25">
      <c r="A50" s="7">
        <v>43243</v>
      </c>
      <c r="B50" s="19">
        <f t="shared" ref="B50" si="42">WEEKNUM(A50)</f>
        <v>21</v>
      </c>
      <c r="C50" s="12">
        <v>2.83</v>
      </c>
      <c r="D50" s="13" t="s">
        <v>6</v>
      </c>
      <c r="E50" s="14" t="s">
        <v>86</v>
      </c>
      <c r="F50" s="14" t="s">
        <v>87</v>
      </c>
    </row>
    <row r="51" spans="1:7" ht="30" x14ac:dyDescent="0.25">
      <c r="A51" s="7">
        <v>43244</v>
      </c>
      <c r="B51" s="19">
        <f t="shared" ref="B51" si="43">WEEKNUM(A51)</f>
        <v>21</v>
      </c>
      <c r="C51" s="12">
        <v>2.25</v>
      </c>
      <c r="D51" s="13" t="s">
        <v>6</v>
      </c>
      <c r="E51" s="14" t="s">
        <v>84</v>
      </c>
      <c r="F51" s="14" t="s">
        <v>85</v>
      </c>
    </row>
    <row r="52" spans="1:7" x14ac:dyDescent="0.25">
      <c r="A52" s="7">
        <v>43244</v>
      </c>
      <c r="B52" s="19">
        <f t="shared" ref="B52" si="44">WEEKNUM(A52)</f>
        <v>21</v>
      </c>
      <c r="C52" s="12">
        <v>1.5</v>
      </c>
      <c r="D52" s="13" t="s">
        <v>6</v>
      </c>
      <c r="E52" s="14" t="s">
        <v>84</v>
      </c>
      <c r="F52" s="14" t="s">
        <v>88</v>
      </c>
    </row>
    <row r="53" spans="1:7" x14ac:dyDescent="0.25">
      <c r="A53" s="7">
        <v>43244</v>
      </c>
      <c r="B53" s="19">
        <f t="shared" ref="B53" si="45">WEEKNUM(A53)</f>
        <v>21</v>
      </c>
      <c r="C53" s="12">
        <v>0.33333000000000002</v>
      </c>
      <c r="D53" s="13" t="s">
        <v>6</v>
      </c>
      <c r="E53" s="14" t="s">
        <v>89</v>
      </c>
      <c r="F53" s="14" t="s">
        <v>90</v>
      </c>
    </row>
    <row r="54" spans="1:7" ht="103.5" customHeight="1" x14ac:dyDescent="0.25">
      <c r="A54" s="7">
        <v>43244</v>
      </c>
      <c r="B54" s="19">
        <f t="shared" ref="B54" si="46">WEEKNUM(A54)</f>
        <v>21</v>
      </c>
      <c r="C54" s="12">
        <v>1.166666</v>
      </c>
      <c r="D54" s="13" t="s">
        <v>6</v>
      </c>
      <c r="E54" s="14" t="s">
        <v>95</v>
      </c>
      <c r="F54" s="14" t="s">
        <v>92</v>
      </c>
      <c r="G54" s="28" t="s">
        <v>91</v>
      </c>
    </row>
    <row r="55" spans="1:7" x14ac:dyDescent="0.25">
      <c r="A55" s="7">
        <v>43248</v>
      </c>
      <c r="B55" s="19">
        <f t="shared" ref="B55" si="47">WEEKNUM(A55)</f>
        <v>22</v>
      </c>
      <c r="C55" s="12">
        <v>1</v>
      </c>
      <c r="D55" s="13" t="s">
        <v>6</v>
      </c>
      <c r="E55" s="14" t="s">
        <v>93</v>
      </c>
      <c r="F55" s="14"/>
    </row>
    <row r="56" spans="1:7" x14ac:dyDescent="0.25">
      <c r="A56" s="7">
        <v>43248</v>
      </c>
      <c r="B56" s="19">
        <f t="shared" ref="B56" si="48">WEEKNUM(A56)</f>
        <v>22</v>
      </c>
      <c r="C56" s="12">
        <v>1.25</v>
      </c>
      <c r="D56" s="13" t="s">
        <v>6</v>
      </c>
      <c r="E56" s="14" t="s">
        <v>94</v>
      </c>
      <c r="F56" s="14"/>
    </row>
    <row r="57" spans="1:7" ht="90" x14ac:dyDescent="0.25">
      <c r="A57" s="7">
        <v>43248</v>
      </c>
      <c r="B57" s="19">
        <f t="shared" ref="B57" si="49">WEEKNUM(A57)</f>
        <v>22</v>
      </c>
      <c r="C57" s="12">
        <v>2.25</v>
      </c>
      <c r="D57" s="13" t="s">
        <v>6</v>
      </c>
      <c r="E57" s="14" t="s">
        <v>95</v>
      </c>
      <c r="F57" s="14" t="s">
        <v>96</v>
      </c>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 ref="G54" r:id="rId4"/>
  </hyperlinks>
  <pageMargins left="0.7" right="0.7" top="0.75" bottom="0.75" header="0.3" footer="0.3"/>
  <pageSetup paperSize="9" scale="32"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D7:D57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2018-05-28T13:48:19Z</dcterms:modified>
</cp:coreProperties>
</file>