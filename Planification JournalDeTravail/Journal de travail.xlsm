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Journal!$A$1:$G$84</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84" i="1" l="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I39" i="1"/>
  <c r="B44" i="1"/>
  <c r="B43" i="1"/>
  <c r="B42" i="1"/>
  <c r="B41" i="1"/>
  <c r="B40" i="1"/>
  <c r="B39" i="1"/>
  <c r="B38" i="1"/>
  <c r="B37" i="1"/>
  <c r="B36" i="1"/>
  <c r="B35" i="1"/>
  <c r="B34" i="1"/>
  <c r="B33" i="1"/>
  <c r="B32" i="1"/>
  <c r="B31" i="1"/>
  <c r="B30" i="1"/>
  <c r="B29" i="1"/>
  <c r="B28" i="1"/>
  <c r="B27" i="1"/>
  <c r="B26" i="1"/>
  <c r="B25" i="1"/>
  <c r="B24" i="1"/>
  <c r="B23" i="1"/>
  <c r="B20" i="1"/>
  <c r="B22" i="1"/>
  <c r="B21" i="1"/>
  <c r="B19" i="1"/>
  <c r="B18" i="1"/>
  <c r="B17" i="1"/>
  <c r="B16" i="1"/>
  <c r="B15" i="1"/>
  <c r="B14" i="1"/>
  <c r="B13" i="1"/>
  <c r="B12" i="1"/>
  <c r="B11" i="1"/>
  <c r="B10" i="1"/>
  <c r="B9" i="1"/>
  <c r="B7" i="1"/>
  <c r="B8" i="1"/>
</calcChain>
</file>

<file path=xl/sharedStrings.xml><?xml version="1.0" encoding="utf-8"?>
<sst xmlns="http://schemas.openxmlformats.org/spreadsheetml/2006/main" count="228" uniqueCount="140">
  <si>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</si>
  <si>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</si>
  <si>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</si>
  <si>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</si>
  <si>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</si>
  <si>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</si>
  <si>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</si>
  <si>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</si>
  <si>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</si>
  <si>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</si>
  <si>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</si>
  <si>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</si>
  <si>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</si>
  <si>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</si>
  <si>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Réalisé par: Gianinetti Lucas</t>
  </si>
  <si>
    <t>Classe: Si-ca2a</t>
  </si>
  <si>
    <t>PROJET: Application de planification de vols aériens</t>
  </si>
  <si>
    <t>Séance experts</t>
  </si>
  <si>
    <t>Validation du cahier des charges</t>
  </si>
  <si>
    <t>Je vais créer mes propres données. Un dépacement du temps annoncé dans le journal de travail est acceptable si : -Les heures sont notées clairement dans le journal de travail -Le temps supplémentaire ne dépasse pas 10% du temps annoncé.</t>
  </si>
  <si>
    <t>Réalisation de la planification</t>
  </si>
  <si>
    <t>Revue de la planification avec ma chef de projet - Corrections</t>
  </si>
  <si>
    <t>Les pauses ne sont pas comptées donc le projet fini le mardi 5 juin à la place du 6 juin. Il manque les tests d'acceptation. Ses deux points ont été corrigés</t>
  </si>
  <si>
    <t>Realisation des maquettes</t>
  </si>
  <si>
    <t>Use case</t>
  </si>
  <si>
    <t>Introduction, objectifs, planification initiale</t>
  </si>
  <si>
    <t>Introduction pas terminée</t>
  </si>
  <si>
    <t>Scenarii</t>
  </si>
  <si>
    <t>Introduction, use case, scenarii</t>
  </si>
  <si>
    <t>Ajout d'un champ dans une maquette</t>
  </si>
  <si>
    <t>L'utilisateur peut rentrer la distance qui sépare deux lieux lorsqu'il crée une ligne.</t>
  </si>
  <si>
    <t>MCD/MLD</t>
  </si>
  <si>
    <t>Création de l'interface graphique sur Visual Studio</t>
  </si>
  <si>
    <t>Réflexion MCD/MLD</t>
  </si>
  <si>
    <t>Maj des maquettes/Interface graphiques/Scenarri/Use case</t>
  </si>
  <si>
    <t>Ajout des éléments concernant la gestion des vacances</t>
  </si>
  <si>
    <t>MCD/MLD + explication de certains champs du MLD, interfaces graphiques, risques techniques et stratégie de tests</t>
  </si>
  <si>
    <t>Revue de mon MLD avec M. Rotten (mld1.0), la version corrigée est nomée mld1.1.       Suppression d'une table redondante; Je voulais utiliser un nom (unique) comme id d'un vol, l'id sera un int et un champ flightName a été ajouté; Ajout d'un champ airportAcronym proposé par M.Rotten parce que les aéroports ont souvent des acronymes. Je ne suis pas certain que ce champ me sera utile.</t>
  </si>
  <si>
    <t>Les acrnomyes des aéroport seront utilisés dans les noms de vols, je garde donc le champ.</t>
  </si>
  <si>
    <t>J'ai envoyé un mail à Mme Andolfatto pour savoir si les semaines de vacances seraient planifiées ou si lorsqu'un pilote ne travaillait pas il était considéré en vacances ? Mme Andolfatto a répondu qu'il faudrait que les vacances soient planifiables --&gt; Ajout d'une table vacances.                                                                                        Normalement toutes les informations nécessaires sont retrouvables dans la base de données ou calculables grâce à celle-ci</t>
  </si>
  <si>
    <t>Risques techniques : il n'y pas forcément de risque technique je parle donc de la difficulté principale du projet</t>
  </si>
  <si>
    <t>Avancement de mon projet avec Mme Andolfatto</t>
  </si>
  <si>
    <t>Planification en cours à faire, modification de l'interface graphique concernant la gestion des vacances</t>
  </si>
  <si>
    <t>Tests,Modification Scenarri pour convenir a la nouvelle interface graphique</t>
  </si>
  <si>
    <t>Revue du MLD avec Mme. Andolfatto</t>
  </si>
  <si>
    <t>Taille des varchars à modifier</t>
  </si>
  <si>
    <t>Diagrame de classe sur visual studio</t>
  </si>
  <si>
    <t>MLD ajout de deux champs supplémentaires</t>
  </si>
  <si>
    <t>En réalisant le diagramme de classe je me suis rendu compte qu'il manquait un champ "CurrentLocation" dans la table pilote afin de savoir ou le pilote se trouve. J'ai rajouté un champ AirportCountry pour faciliter la localisation des aéroports lorsqu'on crée une ligne, afin de rentrer une distance correcte séparant les 2 aéroports</t>
  </si>
  <si>
    <t>Manque les associsations</t>
  </si>
  <si>
    <t>Création de la base de données avec 10 aéroports</t>
  </si>
  <si>
    <t>Diagramme de classe - associations, recherche internet</t>
  </si>
  <si>
    <t>Je n'arrive pas a trouver comment changer les cardinalités, Mme Andolfatto et moi-même avons cherché sur internet mais nous n'avons pas trouvé de solution. Il se peut que je doive faire le diagramme sur astah pour qu'il soit complet</t>
  </si>
  <si>
    <t>Interface graphique du formulaire gestion</t>
  </si>
  <si>
    <t>Le formulaire n'est plus un formulaire (j'ai du supprimé une ligne dans le designer qu'il ne fallait pas supprimer). J'ai recréé le formulaire à partir de 0</t>
  </si>
  <si>
    <t>Ajout d'un pilote</t>
  </si>
  <si>
    <t>Il reste à faire les tests unitaires et les exceptions</t>
  </si>
  <si>
    <t>Génération du diagramme de classe grâce à Astah</t>
  </si>
  <si>
    <t>J'ai suivi une procédure que Mme. Andolfatto m'a envoyé par email pour générer automatiquement le diagramme de classe sur Astah en ayant précédement extrait un fichier xml (grâce a doxygen) de mes classes visual studio</t>
  </si>
  <si>
    <t>https://msdn.microsoft.com/fr-fr/library/system.text.regularexpressions.regex(v=vs.110).aspx</t>
  </si>
  <si>
    <t>Ajout d'un pilote, tests unitaires</t>
  </si>
  <si>
    <t>Ajout d'une ligne, test unitaires</t>
  </si>
  <si>
    <t>Ajout d'un vol</t>
  </si>
  <si>
    <t>commencement</t>
  </si>
  <si>
    <t>https://stackoverflow.com/questions/14789773/inner-joins-with-2-foreign-keys-to-one-primary-key?utm_medium=organic&amp;utm_source=google_rich_qa&amp;utm_campaign=google_rich_qa</t>
  </si>
  <si>
    <t>Il reste à calculer le temps de vol afin de calculer la date et l'heure d'arrivée      http://www.csharp-examples.net/string-format-datetime/</t>
  </si>
  <si>
    <r>
      <t xml:space="preserve">  J'ai perdu du temps (10-15min) parce que j'essayais de "développer moi-même" l'ajout du temps de vol à la date de départ du vol alors qu'il y a déjà une fonction existante dateTime.AddHours() qui permet de le faire.                                                                        J'ai passé 6h30 à la place des 5h prévues, mais je reste dans les temps car l'ajout d'une ligne m'a pris moins de temps que prévu.                                                                 </t>
    </r>
    <r>
      <rPr>
        <u/>
        <sz val="11"/>
        <rFont val="Calibri"/>
        <family val="2"/>
        <scheme val="minor"/>
      </rPr>
      <t xml:space="preserve">https://msdn.microsoft.com/en-us/library/system.datetime.addhours(v=vs.110).aspx      </t>
    </r>
    <r>
      <rPr>
        <sz val="11"/>
        <rFont val="Calibri"/>
        <family val="2"/>
        <scheme val="minor"/>
      </rPr>
      <t xml:space="preserve"> </t>
    </r>
  </si>
  <si>
    <t>Ajout des tests unitaires déjà effectués</t>
  </si>
  <si>
    <t>Affichage des pilotes</t>
  </si>
  <si>
    <t>Les informations des pilotes s'affichent correctement, mais il faut réadapter les champs du datagridview à chaque fois, il faut donc que je me penche encore sur le sujet</t>
  </si>
  <si>
    <t>Entretient avec M. Tieche</t>
  </si>
  <si>
    <t>Si deux pilotes ont les mêmes noms et prénoms il faut être capable de les différencier. Si l'utilisateur se trompe lors d'une insertion, les données doivent pouvoir etre modifiée. Ajouter un champ type d'aéroport afin d'éviter la redondance (ex: aéroport internaitonal). Expliquer les conventions des liaisons reliant les différentes tables/entités dans le mld/mcd. Expliquer clairement les conventions de nommage, choix de la grandeur des champs ets pour le mld. Ajouter un temps total pour le journal de travail (supprimer les onglets non utilisés pour le rendu final). Rendre une version papier pour M. Tieche.</t>
  </si>
  <si>
    <t>Journal de travail, journal de bord</t>
  </si>
  <si>
    <t>Affichage des vols</t>
  </si>
  <si>
    <t>Affichage des lignes</t>
  </si>
  <si>
    <t>Perdu du temps sur une erreur "Exception thrown: 'System.InvalidOperationException' in MySql.Data.dll". Lors de la lecture dans la base de données. Une connexion est ouverte et donc le programme plante lorsque j'essaye d'ouvrir la connexion pour récupérer les données des lignes. Toutes mes méthodes qui communiquent avec la base de données ouvrent et ferment la connexion. Je n'ai pas trouvé d'ou venait le problème, mais je l'ai résolu temporairement en fermant la connexion avant de l'ouvrir dans la méthode qui posait problème.</t>
  </si>
  <si>
    <t>Tests unitaires, affichage vol et ligne + ajout dans la doc du projet</t>
  </si>
  <si>
    <t>Ajout des vacances à un pilote</t>
  </si>
  <si>
    <r>
      <t xml:space="preserve">J'ai perdu 30-40min parce que j'arrivais pas à insérer les vacances dans la base de données, une exception était retournée. J'ai d'abbord cru que c'était le format de la date qui ne passait pas, mais le format de la date insérée est le même que dans une autre méthode qui fonctionne. Au final le champ idVacation n'était pas auto incrémenté  ce qu'il fait que l'insert ne passait pas parce qu'il attendait un champ supplémentaire à ce que j'avais écrit. Après modification du .sql la méthode passe...                                 </t>
    </r>
    <r>
      <rPr>
        <u/>
        <sz val="11"/>
        <color theme="1"/>
        <rFont val="Calibri"/>
        <family val="2"/>
        <scheme val="minor"/>
      </rPr>
      <t xml:space="preserve">https://stackoverflow.com/questions/7657137/datagridview-full-row-selection-but-get-single-cell-value    </t>
    </r>
  </si>
  <si>
    <t xml:space="preserve">Pour l'instant je n'ai pas pu tester  les pilotes associés au vol </t>
  </si>
  <si>
    <t>Affichage des vacances</t>
  </si>
  <si>
    <t xml:space="preserve">https://stackoverflow.com/questions/1607336/calculate-difference-between-two-dates-number-of-days                                                                                                           https://stackoverflow.com/questions/5672862/check-if-datetime-instance-falls-in-between-other-two-datetime-objects         </t>
  </si>
  <si>
    <t>Perte de temps, parce que j'initialisais pas le paramètre que j'envoyais au formualire frmAffichageVacances, du coup la requete sql ne me retournait rien</t>
  </si>
  <si>
    <t>Tests unitaires ajout des vacances/planification des vacances</t>
  </si>
  <si>
    <t>Affectation d'un pilote à un vol - updatePiltosCurrentLocation</t>
  </si>
  <si>
    <t>La méthode qui maj la localisation actuelle des pilotes est implémentée, il reste les tests a faire avec les dates.</t>
  </si>
  <si>
    <t>Affectation d'un pilote à un vol - RemovePilotsNoRestSinceLastFlight</t>
  </si>
  <si>
    <t>La liste des pilotes disponibles comprend tous les pilotes; moins ceux qui n'on pas eu le temps (12H) de récupérer après leur dernier vol;moins ceux qui ne sont pas dans l'aéroport de départ du vol (reste a maj la localisation actuelle du pilote)</t>
  </si>
  <si>
    <t>Il y avait un problème de lecture dans la base de données………………….</t>
  </si>
  <si>
    <t>Affectation d'un pilote à un vol - updatePiltosCurrentLocation - Test</t>
  </si>
  <si>
    <t>La méthode fonctionne</t>
  </si>
  <si>
    <t>https://stackoverflow.com/questions/38039/how-can-i-get-the-datetime-for-the-start-of-the-week</t>
  </si>
  <si>
    <t xml:space="preserve">Pour l'instant j'arrive a savoir quels pilotes ont eu des jours de repos cette semaine. Maintenant il faut que je sache si ceux qui n'ont pas encore eu de jours de repos cette semaine ont le temps de faire un vol allé-retour (ou retour si ils ne sont pas dans leur aéroports d'affectation) et de se reposer 2 jours apres ce vol ou pas                                              </t>
  </si>
  <si>
    <t>Commentaires/refactoring</t>
  </si>
  <si>
    <t>Affectation d'un pilote à un vol - RemovePilotsInVacation</t>
  </si>
  <si>
    <t>Affectation d'un pilote à un vol - RemovePilotsIfPilotHasntRestThisWeek()</t>
  </si>
  <si>
    <t>La fonction ne fonctionne pas, je ne pense pas avoir le temps de l'implémenter si je veux faire les tests automatiques pour l'affectation des pilotes à un vol et implémenter la génération du planning. J'ai fait le pseudo code de la fonction. Il faut que je regarde avec Mme Andolfatto afin de savoir quoi faire. Abandon de cette partie ? ou est ce que j'abandonne la génération du planing et je me concentre sur cette fonction</t>
  </si>
  <si>
    <t>Je vais abandonner deux des contraintes pour l'affectation d'un pilote a un vol afin d'avoir le temps de faire la génération du planing, puis reviendrai sur ses contraintes si j'ai le temps apres avoir fait la génération du planning</t>
  </si>
  <si>
    <t>Sur conseil de Mme Andolfatto, parce que j'affichais les erreurs seulement dans la console et l'utilisateur ne pourra les voir</t>
  </si>
  <si>
    <t>Créé une classe MYSQLException afin de pouvoir retourner un message d'erreur aux utilisateurs lorsqu'une exception arrive. Throw exception</t>
  </si>
  <si>
    <t>Test automatique pour l'ajout d'un pilote à un vol</t>
  </si>
  <si>
    <t>Tests unitaires pour l'ajout d'un pilote à un vol</t>
  </si>
  <si>
    <t>Il y a un bug, je vais d'abord faire la génération du planing puis j'y reviendrai</t>
  </si>
  <si>
    <t>Mis a jour de tests unitaires dans lesquelles je ne prévoyais pas certains cas</t>
  </si>
  <si>
    <t>Plusieurs bugs sont appru, je les règlerai apres la génération du planing</t>
  </si>
  <si>
    <t>https://stackoverflow.com/questions/18757097/writing-data-into-csv-file-in-c-sharp</t>
  </si>
  <si>
    <t>Génération du planing</t>
  </si>
  <si>
    <t>Génère le planing, il faut encore que je fasse la création d'un dossier commun, et d'un fichier par pilote</t>
  </si>
  <si>
    <t>Temps total</t>
  </si>
  <si>
    <t>https://stackoverflow.com/questions/25032523/c-sharp-asp-net-selecting-multiple-column-from-same-mysql-command-and-use-them-i</t>
  </si>
  <si>
    <t>Génération du planing - tests untaires</t>
  </si>
  <si>
    <t>Correction bug - lors de l'ajout d'un vol, pour calculer l'heure d'arrivée les minutes n'étaient pas prisent en compte</t>
  </si>
  <si>
    <t>J'utilisais un double, avec un float cela fonctionne</t>
  </si>
  <si>
    <t>Correction bug - lors de l'ajout d'une ligne, on pouvait ajouter une ligne qui existe déjà</t>
  </si>
  <si>
    <t>Correction bug - lors de l'ajout d'un vol, on pouvait ajouter un vol déjà existant</t>
  </si>
  <si>
    <t>Si la ligne existe déjà un message d'avertissement apparait et la ligne n'est pas créée</t>
  </si>
  <si>
    <t>Si le vol  existe déjà un message d'avertissement apparait et le vol n'est pas créé</t>
  </si>
  <si>
    <t>Le nom de l'aeroport est récupéré grâce a une requete a la base de données</t>
  </si>
  <si>
    <t>Terminé, je vais maintenant corriger les différents bugs et faire la documentation afin que les fonctionalités implémentées soient fonctionelles a 100%, puis si j'ai encore du temps je ferai les fonctionalités manquantes à l'affectation d'un vol à un pilote</t>
  </si>
  <si>
    <t>Un message d'avertissement apparait et les vacances ne sont pas ajoutées</t>
  </si>
  <si>
    <t>Correction bug - Ajout d'un vol - Dans la fonction qui sert a afficher la date d'arrivée du vol et la fonction d'ajout de vol, je récupèrai le nom de l'aéroport en "dur"</t>
  </si>
  <si>
    <t>Correction bug - Planification vacances - si le pilote travaillait pendant la periode de vacances que l'on veut ajouter, les vacances étaient quand meme ajoutées</t>
  </si>
  <si>
    <t>Correction bug - Lorsqu'on charge les pilotes disponibles pour le vol, la localisation des pilotes était prise en compte par rapport à la date actuelle et non la date du vol, du coup les pilotes affichés n'étaient pas forcément ceux qui sont dans le bon aéroport à la date du vol</t>
  </si>
  <si>
    <t>Les pilotes affichés sont bien dans l'aéroport de départ du vol  à la date du vol</t>
  </si>
  <si>
    <t>Correction bug - l'ajout du temps de vol se fait au moment de l'affectation d'un vol à un pilote et non apres que le vol soit effectué</t>
  </si>
  <si>
    <t>Pas encore terminé, je devrai arriver a une solution ou le temps de vol se met a jour au bon moment, mais si un vol dure plus de 10h et a plusieurs pilotes la totalité du temps de vol sera ajouté aux deux pilotes</t>
  </si>
  <si>
    <t>Correction bug - l'ajout du temps de vol se fait au moment de l'affectation d'un vol à un pilote et non apres que le vol soit effectué - la position actuelle du pilote n'était pas mise à jour</t>
  </si>
  <si>
    <t>Correction bug - l'affichage des données ne se recharge pas automatiquement lors de l'insertion de nouvelles données</t>
  </si>
  <si>
    <t>L'ajout du temps de vol et la maj de la localisation du pilote se font à chaque démarrage de l'application, changement dans la base de données du champ flightTime en float alors qu'avant il était en int</t>
  </si>
  <si>
    <t>Correction bug - un pilote pouvait être affecté à un vol dont la date est dépassée ou dans un vol ou un pilote était déjà affecté</t>
  </si>
  <si>
    <t>dgvFlights n'est pas mis à jour après l'affectation d'un vol à un pilote, je n'arrive pas à le faire, il faut relancer frmDisplay pour que ca se met à jour</t>
  </si>
  <si>
    <t>Presque terminé, il faut que je finisse juste qqe commentaires</t>
  </si>
  <si>
    <t>LES TESTS D'ACCEPTATION ONT ÉTÉ FAIT AU FUR ET A MESURE DE LA RESOLUTION DES BUGS, JE FERAI ENCORE 1H DE TEST D'ACCEPTATION LUNDI MATIN</t>
  </si>
  <si>
    <t>Correction bugs - divers affichage</t>
  </si>
  <si>
    <t>Mme Andolfatto a réalisé des tests d'accpetation, ses corrections correspondent aux point ressorti par ses tests d'acceptation</t>
  </si>
  <si>
    <t>MLD - diagramme de classe</t>
  </si>
  <si>
    <t>Le diagramme de classe généré avec astah n'est pas très clair, je vais voir pour le faire à la main éventuellement</t>
  </si>
  <si>
    <t>Manuel d'utilisation</t>
  </si>
  <si>
    <t>Tests d'accpetation, diagramme de classe, conclusion, manuel d'installation, liste des documents fourni, bibliographie,  erreurs restantes, arborescence du projet</t>
  </si>
  <si>
    <t>Finitions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</si>
</sst>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u/>
      <sz val="11"/>
      <color theme="10"/>
      <name val="Calibri"/>
      <family val="2"/>
      <scheme val="minor"/>
    </font>
    <font>
      <sz val="11"/>
      <name val="Calibri"/>
      <family val="2"/>
      <scheme val="minor"/>
    </font>
    <font>
      <u/>
      <sz val="11"/>
      <name val="Calibri"/>
      <family val="2"/>
      <scheme val="minor"/>
    </font>
    <font>
      <u/>
      <sz val="11"/>
      <color theme="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0" fontId="6" fillId="0" borderId="1" xfId="1" applyBorder="1" applyAlignment="1" applyProtection="1">
      <alignment horizontal="left" vertical="center" wrapText="1"/>
      <protection locked="0"/>
    </xf>
    <xf numFmtId="0" fontId="7" fillId="0" borderId="1" xfId="1" applyFont="1" applyBorder="1" applyAlignment="1" applyProtection="1">
      <alignment horizontal="left" vertical="center" wrapText="1"/>
      <protection locked="0"/>
    </xf>
    <xf numFmtId="0" fontId="7" fillId="0" borderId="0" xfId="1" applyFont="1" applyAlignment="1" applyProtection="1">
      <alignment horizontal="left" vertical="center" wrapText="1"/>
      <protection locked="0"/>
    </xf>
    <xf numFmtId="2" fontId="0" fillId="0" borderId="0" xfId="0" applyNumberFormat="1" applyProtection="1">
      <protection locked="0"/>
    </xf>
    <xf numFmtId="0" fontId="6" fillId="0" borderId="0" xfId="1" applyAlignment="1" applyProtection="1">
      <alignment horizontal="left" vertical="center" wrapText="1"/>
      <protection locked="0"/>
    </xf>
    <xf numFmtId="16" fontId="0" fillId="0" borderId="0" xfId="0" applyNumberFormat="1" applyAlignment="1" applyProtection="1">
      <alignment horizontal="center" vertical="center"/>
      <protection locked="0"/>
    </xf>
    <xf numFmtId="0" fontId="6" fillId="0" borderId="0" xfId="1" applyAlignment="1" applyProtection="1">
      <alignment wrapText="1"/>
      <protection locked="0"/>
    </xf>
    <xf numFmtId="0" fontId="3" fillId="0" borderId="0" xfId="0" applyFont="1" applyAlignment="1">
      <alignment horizontal="center"/>
    </xf>
    <xf numFmtId="0" fontId="0" fillId="3" borderId="2" xfId="0" applyFill="1" applyBorder="1" applyAlignment="1" applyProtection="1">
      <alignment horizontal="center" vertical="center" wrapText="1"/>
      <protection locked="0"/>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8"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stackoverflow.com/questions/1607336/calculate-difference-between-two-dates-number-of-days" TargetMode="External"/><Relationship Id="rId7" Type="http://schemas.openxmlformats.org/officeDocument/2006/relationships/printerSettings" Target="../printerSettings/printerSettings1.bin"/><Relationship Id="rId2" Type="http://schemas.openxmlformats.org/officeDocument/2006/relationships/hyperlink" Target="https://stackoverflow.com/questions/14789773/inner-joins-with-2-foreign-keys-to-one-primary-key?utm_medium=organic&amp;utm_source=google_rich_qa&amp;utm_campaign=google_rich_qa" TargetMode="External"/><Relationship Id="rId1" Type="http://schemas.openxmlformats.org/officeDocument/2006/relationships/hyperlink" Target="https://msdn.microsoft.com/fr-fr/library/system.text.regularexpressions.regex(v=vs.110).aspx" TargetMode="External"/><Relationship Id="rId6" Type="http://schemas.openxmlformats.org/officeDocument/2006/relationships/hyperlink" Target="https://stackoverflow.com/questions/25032523/c-sharp-asp-net-selecting-multiple-column-from-same-mysql-command-and-use-them-i" TargetMode="External"/><Relationship Id="rId5" Type="http://schemas.openxmlformats.org/officeDocument/2006/relationships/hyperlink" Target="https://stackoverflow.com/questions/18757097/writing-data-into-csv-file-in-c-sharp" TargetMode="External"/><Relationship Id="rId10" Type="http://schemas.openxmlformats.org/officeDocument/2006/relationships/ctrlProp" Target="../ctrlProps/ctrlProp1.xml"/><Relationship Id="rId4" Type="http://schemas.openxmlformats.org/officeDocument/2006/relationships/hyperlink" Target="https://stackoverflow.com/questions/38039/how-can-i-get-the-datetime-for-the-start-of-the-week"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84"/>
  <sheetViews>
    <sheetView tabSelected="1" view="pageBreakPreview" topLeftCell="A64" zoomScale="85" zoomScaleNormal="70" zoomScaleSheetLayoutView="85" workbookViewId="0">
      <selection activeCell="E91" sqref="E91"/>
    </sheetView>
  </sheetViews>
  <sheetFormatPr baseColWidth="10" defaultColWidth="9.140625" defaultRowHeight="15" x14ac:dyDescent="0.25"/>
  <cols>
    <col min="1" max="1" width="13.42578125" style="8" customWidth="1"/>
    <col min="2" max="2" width="12.42578125" style="20" customWidth="1"/>
    <col min="3" max="3" width="16.7109375" style="16" customWidth="1"/>
    <col min="4" max="4" width="17.140625" style="8" customWidth="1"/>
    <col min="5" max="5" width="84.85546875" style="17" bestFit="1" customWidth="1"/>
    <col min="6" max="6" width="75.140625" style="17" customWidth="1"/>
    <col min="7" max="7" width="54.28515625" style="11" customWidth="1"/>
    <col min="8" max="16384" width="9.140625" style="11"/>
  </cols>
  <sheetData>
    <row r="1" spans="1:9" s="21" customFormat="1" ht="14.1" customHeight="1" x14ac:dyDescent="0.2">
      <c r="A1" s="31" t="s">
        <v>16</v>
      </c>
      <c r="B1" s="31"/>
      <c r="C1" s="31"/>
      <c r="D1" s="31"/>
      <c r="E1" s="31"/>
      <c r="F1" s="31"/>
    </row>
    <row r="2" spans="1:9" s="21" customFormat="1" ht="14.25" x14ac:dyDescent="0.2">
      <c r="A2" s="31"/>
      <c r="B2" s="31"/>
      <c r="C2" s="31"/>
      <c r="D2" s="31"/>
      <c r="E2" s="31"/>
      <c r="F2" s="31"/>
    </row>
    <row r="3" spans="1:9" s="21" customFormat="1" ht="24.95" customHeight="1" x14ac:dyDescent="0.2">
      <c r="D3" s="22"/>
      <c r="E3" s="22" t="s">
        <v>14</v>
      </c>
      <c r="F3" s="23" t="s">
        <v>15</v>
      </c>
    </row>
    <row r="6" spans="1:9" ht="24" customHeight="1" x14ac:dyDescent="0.25">
      <c r="A6" s="6" t="s">
        <v>1</v>
      </c>
      <c r="B6" s="18" t="s">
        <v>11</v>
      </c>
      <c r="C6" s="9" t="s">
        <v>2</v>
      </c>
      <c r="D6" s="6" t="s">
        <v>3</v>
      </c>
      <c r="E6" s="10" t="s">
        <v>0</v>
      </c>
      <c r="F6" s="10" t="s">
        <v>13</v>
      </c>
    </row>
    <row r="7" spans="1:9" ht="60" x14ac:dyDescent="0.25">
      <c r="A7" s="7">
        <v>43228</v>
      </c>
      <c r="B7" s="19">
        <f t="shared" ref="B7" si="0">WEEKNUM(A7)</f>
        <v>19</v>
      </c>
      <c r="C7" s="12">
        <v>0.83333000000000002</v>
      </c>
      <c r="D7" s="13" t="s">
        <v>17</v>
      </c>
      <c r="E7" s="14" t="s">
        <v>18</v>
      </c>
      <c r="F7" s="14" t="s">
        <v>19</v>
      </c>
      <c r="I7" s="15"/>
    </row>
    <row r="8" spans="1:9" x14ac:dyDescent="0.25">
      <c r="A8" s="7">
        <v>43228</v>
      </c>
      <c r="B8" s="19">
        <f t="shared" ref="B8" si="1">WEEKNUM(A8)</f>
        <v>19</v>
      </c>
      <c r="C8" s="12">
        <v>2</v>
      </c>
      <c r="D8" s="13" t="s">
        <v>5</v>
      </c>
      <c r="E8" s="14" t="s">
        <v>20</v>
      </c>
      <c r="F8" s="14"/>
      <c r="I8" s="15"/>
    </row>
    <row r="9" spans="1:9" ht="30" x14ac:dyDescent="0.25">
      <c r="A9" s="7">
        <v>43228</v>
      </c>
      <c r="B9" s="19">
        <f t="shared" ref="B9" si="2">WEEKNUM(A9)</f>
        <v>19</v>
      </c>
      <c r="C9" s="12">
        <v>0.16666600000000001</v>
      </c>
      <c r="D9" s="13" t="s">
        <v>5</v>
      </c>
      <c r="E9" s="14" t="s">
        <v>21</v>
      </c>
      <c r="F9" s="14" t="s">
        <v>22</v>
      </c>
    </row>
    <row r="10" spans="1:9" x14ac:dyDescent="0.25">
      <c r="A10" s="7">
        <v>43228</v>
      </c>
      <c r="B10" s="19">
        <f t="shared" ref="B10" si="3">WEEKNUM(A10)</f>
        <v>19</v>
      </c>
      <c r="C10" s="12">
        <v>3</v>
      </c>
      <c r="D10" s="13" t="s">
        <v>5</v>
      </c>
      <c r="E10" s="14" t="s">
        <v>23</v>
      </c>
      <c r="F10" s="14"/>
    </row>
    <row r="11" spans="1:9" x14ac:dyDescent="0.25">
      <c r="A11" s="7">
        <v>43228</v>
      </c>
      <c r="B11" s="19">
        <f t="shared" ref="B11" si="4">WEEKNUM(A11)</f>
        <v>19</v>
      </c>
      <c r="C11" s="12">
        <v>0.33300000000000002</v>
      </c>
      <c r="D11" s="13" t="s">
        <v>5</v>
      </c>
      <c r="E11" s="14" t="s">
        <v>24</v>
      </c>
      <c r="F11" s="14"/>
    </row>
    <row r="12" spans="1:9" x14ac:dyDescent="0.25">
      <c r="A12" s="7">
        <v>43228</v>
      </c>
      <c r="B12" s="19">
        <f t="shared" ref="B12" si="5">WEEKNUM(A12)</f>
        <v>19</v>
      </c>
      <c r="C12" s="12">
        <v>0.42</v>
      </c>
      <c r="D12" s="13" t="s">
        <v>8</v>
      </c>
      <c r="E12" s="14" t="s">
        <v>25</v>
      </c>
      <c r="F12" s="14" t="s">
        <v>26</v>
      </c>
    </row>
    <row r="13" spans="1:9" x14ac:dyDescent="0.25">
      <c r="A13" s="7">
        <v>43229</v>
      </c>
      <c r="B13" s="19">
        <f t="shared" ref="B13" si="6">WEEKNUM(A13)</f>
        <v>19</v>
      </c>
      <c r="C13" s="12">
        <v>1.6666000000000001</v>
      </c>
      <c r="D13" s="13" t="s">
        <v>5</v>
      </c>
      <c r="E13" s="14" t="s">
        <v>27</v>
      </c>
      <c r="F13" s="14"/>
    </row>
    <row r="14" spans="1:9" x14ac:dyDescent="0.25">
      <c r="A14" s="7">
        <v>43229</v>
      </c>
      <c r="B14" s="19">
        <f t="shared" ref="B14" si="7">WEEKNUM(A14)</f>
        <v>19</v>
      </c>
      <c r="C14" s="12">
        <v>0.58333000000000002</v>
      </c>
      <c r="D14" s="13" t="s">
        <v>8</v>
      </c>
      <c r="E14" s="14" t="s">
        <v>28</v>
      </c>
      <c r="F14" s="14"/>
    </row>
    <row r="15" spans="1:9" x14ac:dyDescent="0.25">
      <c r="A15" s="7">
        <v>43229</v>
      </c>
      <c r="B15" s="19">
        <f t="shared" ref="B15" si="8">WEEKNUM(A15)</f>
        <v>19</v>
      </c>
      <c r="C15" s="12">
        <v>0.08</v>
      </c>
      <c r="D15" s="13" t="s">
        <v>5</v>
      </c>
      <c r="E15" s="14" t="s">
        <v>29</v>
      </c>
      <c r="F15" s="14" t="s">
        <v>30</v>
      </c>
    </row>
    <row r="16" spans="1:9" x14ac:dyDescent="0.25">
      <c r="A16" s="7">
        <v>43229</v>
      </c>
      <c r="B16" s="19">
        <f t="shared" ref="B16" si="9">WEEKNUM(A16)</f>
        <v>19</v>
      </c>
      <c r="C16" s="12">
        <v>1.4166000000000001</v>
      </c>
      <c r="D16" s="13" t="s">
        <v>5</v>
      </c>
      <c r="E16" s="14" t="s">
        <v>31</v>
      </c>
      <c r="F16" s="14"/>
    </row>
    <row r="17" spans="1:6" ht="75" x14ac:dyDescent="0.25">
      <c r="A17" s="7">
        <v>43229</v>
      </c>
      <c r="B17" s="19">
        <f t="shared" ref="B17" si="10">WEEKNUM(A17)</f>
        <v>19</v>
      </c>
      <c r="C17" s="12">
        <v>2.25</v>
      </c>
      <c r="D17" s="13" t="s">
        <v>5</v>
      </c>
      <c r="E17" s="14" t="s">
        <v>31</v>
      </c>
      <c r="F17" s="14" t="s">
        <v>37</v>
      </c>
    </row>
    <row r="18" spans="1:6" ht="30" x14ac:dyDescent="0.25">
      <c r="A18" s="7">
        <v>43234</v>
      </c>
      <c r="B18" s="19">
        <f t="shared" ref="B18" si="11">WEEKNUM(A18)</f>
        <v>20</v>
      </c>
      <c r="C18" s="12">
        <v>0.5</v>
      </c>
      <c r="D18" s="13" t="s">
        <v>5</v>
      </c>
      <c r="E18" s="14" t="s">
        <v>33</v>
      </c>
      <c r="F18" s="14" t="s">
        <v>38</v>
      </c>
    </row>
    <row r="19" spans="1:6" x14ac:dyDescent="0.25">
      <c r="A19" s="7">
        <v>43234</v>
      </c>
      <c r="B19" s="19">
        <f t="shared" ref="B19:B20" si="12">WEEKNUM(A19)</f>
        <v>20</v>
      </c>
      <c r="C19" s="12">
        <v>1</v>
      </c>
      <c r="D19" s="13" t="s">
        <v>8</v>
      </c>
      <c r="E19" s="14" t="s">
        <v>32</v>
      </c>
      <c r="F19" s="14"/>
    </row>
    <row r="20" spans="1:6" ht="90" x14ac:dyDescent="0.25">
      <c r="A20" s="7">
        <v>43234</v>
      </c>
      <c r="B20" s="19">
        <f t="shared" si="12"/>
        <v>20</v>
      </c>
      <c r="C20" s="12">
        <v>1</v>
      </c>
      <c r="D20" s="13" t="s">
        <v>5</v>
      </c>
      <c r="E20" s="14" t="s">
        <v>33</v>
      </c>
      <c r="F20" s="14" t="s">
        <v>39</v>
      </c>
    </row>
    <row r="21" spans="1:6" x14ac:dyDescent="0.25">
      <c r="A21" s="7">
        <v>43234</v>
      </c>
      <c r="B21" s="19">
        <f t="shared" ref="B21" si="13">WEEKNUM(A21)</f>
        <v>20</v>
      </c>
      <c r="C21" s="12">
        <v>1</v>
      </c>
      <c r="D21" s="13" t="s">
        <v>8</v>
      </c>
      <c r="E21" s="14" t="s">
        <v>34</v>
      </c>
      <c r="F21" s="14" t="s">
        <v>35</v>
      </c>
    </row>
    <row r="22" spans="1:6" ht="30" x14ac:dyDescent="0.25">
      <c r="A22" s="7">
        <v>43234</v>
      </c>
      <c r="B22" s="19">
        <f t="shared" ref="B22" si="14">WEEKNUM(A22)</f>
        <v>20</v>
      </c>
      <c r="C22" s="12">
        <v>1</v>
      </c>
      <c r="D22" s="13" t="s">
        <v>8</v>
      </c>
      <c r="E22" s="14" t="s">
        <v>36</v>
      </c>
      <c r="F22" s="14" t="s">
        <v>40</v>
      </c>
    </row>
    <row r="23" spans="1:6" ht="30" x14ac:dyDescent="0.25">
      <c r="A23" s="7">
        <v>43235</v>
      </c>
      <c r="B23" s="19">
        <f t="shared" ref="B23" si="15">WEEKNUM(A23)</f>
        <v>20</v>
      </c>
      <c r="C23" s="12">
        <v>0.1666667</v>
      </c>
      <c r="D23" s="13" t="s">
        <v>17</v>
      </c>
      <c r="E23" s="14" t="s">
        <v>41</v>
      </c>
      <c r="F23" s="14" t="s">
        <v>42</v>
      </c>
    </row>
    <row r="24" spans="1:6" x14ac:dyDescent="0.25">
      <c r="A24" s="7">
        <v>43235</v>
      </c>
      <c r="B24" s="19">
        <f t="shared" ref="B24" si="16">WEEKNUM(A24)</f>
        <v>20</v>
      </c>
      <c r="C24" s="12">
        <v>0.33</v>
      </c>
      <c r="D24" s="13" t="s">
        <v>8</v>
      </c>
      <c r="E24" s="14" t="s">
        <v>43</v>
      </c>
      <c r="F24" s="14"/>
    </row>
    <row r="25" spans="1:6" x14ac:dyDescent="0.25">
      <c r="A25" s="7">
        <v>43235</v>
      </c>
      <c r="B25" s="19">
        <f t="shared" ref="B25" si="17">WEEKNUM(A25)</f>
        <v>20</v>
      </c>
      <c r="C25" s="12">
        <v>8.3333299999999999E-2</v>
      </c>
      <c r="D25" s="13" t="s">
        <v>17</v>
      </c>
      <c r="E25" s="14" t="s">
        <v>44</v>
      </c>
      <c r="F25" s="14" t="s">
        <v>45</v>
      </c>
    </row>
    <row r="26" spans="1:6" x14ac:dyDescent="0.25">
      <c r="A26" s="7">
        <v>43235</v>
      </c>
      <c r="B26" s="19">
        <f t="shared" ref="B26" si="18">WEEKNUM(A26)</f>
        <v>20</v>
      </c>
      <c r="C26" s="12">
        <v>3</v>
      </c>
      <c r="D26" s="13" t="s">
        <v>8</v>
      </c>
      <c r="E26" s="14" t="s">
        <v>46</v>
      </c>
      <c r="F26" s="14" t="s">
        <v>49</v>
      </c>
    </row>
    <row r="27" spans="1:6" ht="75" x14ac:dyDescent="0.25">
      <c r="A27" s="7">
        <v>43235</v>
      </c>
      <c r="B27" s="19">
        <f t="shared" ref="B27" si="19">WEEKNUM(A27)</f>
        <v>20</v>
      </c>
      <c r="C27" s="12">
        <v>0.17</v>
      </c>
      <c r="D27" s="13" t="s">
        <v>8</v>
      </c>
      <c r="E27" s="14" t="s">
        <v>47</v>
      </c>
      <c r="F27" s="14" t="s">
        <v>48</v>
      </c>
    </row>
    <row r="28" spans="1:6" x14ac:dyDescent="0.25">
      <c r="A28" s="7">
        <v>43235</v>
      </c>
      <c r="B28" s="19">
        <f t="shared" ref="B28" si="20">WEEKNUM(A28)</f>
        <v>20</v>
      </c>
      <c r="C28" s="12">
        <v>0.25</v>
      </c>
      <c r="D28" s="13" t="s">
        <v>6</v>
      </c>
      <c r="E28" s="14" t="s">
        <v>50</v>
      </c>
      <c r="F28" s="14"/>
    </row>
    <row r="29" spans="1:6" ht="45" x14ac:dyDescent="0.25">
      <c r="A29" s="7">
        <v>43235</v>
      </c>
      <c r="B29" s="19">
        <f t="shared" ref="B29" si="21">WEEKNUM(A29)</f>
        <v>20</v>
      </c>
      <c r="C29" s="12">
        <v>1</v>
      </c>
      <c r="D29" s="13" t="s">
        <v>8</v>
      </c>
      <c r="E29" s="14" t="s">
        <v>51</v>
      </c>
      <c r="F29" s="14" t="s">
        <v>52</v>
      </c>
    </row>
    <row r="30" spans="1:6" ht="30" x14ac:dyDescent="0.25">
      <c r="A30" s="7">
        <v>43235</v>
      </c>
      <c r="B30" s="19">
        <f t="shared" ref="B30" si="22">WEEKNUM(A30)</f>
        <v>20</v>
      </c>
      <c r="C30" s="12">
        <v>0.25</v>
      </c>
      <c r="D30" s="13" t="s">
        <v>8</v>
      </c>
      <c r="E30" s="14" t="s">
        <v>53</v>
      </c>
      <c r="F30" s="14" t="s">
        <v>54</v>
      </c>
    </row>
    <row r="31" spans="1:6" x14ac:dyDescent="0.25">
      <c r="A31" s="7">
        <v>43235</v>
      </c>
      <c r="B31" s="19">
        <f t="shared" ref="B31" si="23">WEEKNUM(A31)</f>
        <v>20</v>
      </c>
      <c r="C31" s="12">
        <v>1.5</v>
      </c>
      <c r="D31" s="13" t="s">
        <v>6</v>
      </c>
      <c r="E31" s="14" t="s">
        <v>55</v>
      </c>
      <c r="F31" s="14" t="s">
        <v>56</v>
      </c>
    </row>
    <row r="32" spans="1:6" ht="45" x14ac:dyDescent="0.25">
      <c r="A32" s="7">
        <v>43236</v>
      </c>
      <c r="B32" s="19">
        <f t="shared" ref="B32" si="24">WEEKNUM(A32)</f>
        <v>20</v>
      </c>
      <c r="C32" s="12">
        <v>0.5</v>
      </c>
      <c r="D32" s="13" t="s">
        <v>8</v>
      </c>
      <c r="E32" s="14" t="s">
        <v>57</v>
      </c>
      <c r="F32" s="14" t="s">
        <v>58</v>
      </c>
    </row>
    <row r="33" spans="1:9" x14ac:dyDescent="0.25">
      <c r="A33" s="7">
        <v>43236</v>
      </c>
      <c r="B33" s="19">
        <f t="shared" ref="B33" si="25">WEEKNUM(A33)</f>
        <v>20</v>
      </c>
      <c r="C33" s="12">
        <v>0.5</v>
      </c>
      <c r="D33" s="13" t="s">
        <v>8</v>
      </c>
      <c r="E33" s="14" t="s">
        <v>57</v>
      </c>
      <c r="F33" s="24"/>
    </row>
    <row r="34" spans="1:9" ht="30" x14ac:dyDescent="0.25">
      <c r="A34" s="7">
        <v>43236</v>
      </c>
      <c r="B34" s="19">
        <f t="shared" ref="B34" si="26">WEEKNUM(A34)</f>
        <v>20</v>
      </c>
      <c r="C34" s="12">
        <v>2.41</v>
      </c>
      <c r="D34" s="13" t="s">
        <v>6</v>
      </c>
      <c r="E34" s="14" t="s">
        <v>60</v>
      </c>
      <c r="F34" s="24" t="s">
        <v>59</v>
      </c>
    </row>
    <row r="35" spans="1:9" ht="60" x14ac:dyDescent="0.25">
      <c r="A35" s="7">
        <v>43236</v>
      </c>
      <c r="B35" s="19">
        <f t="shared" ref="B35" si="27">WEEKNUM(A35)</f>
        <v>20</v>
      </c>
      <c r="C35" s="12">
        <v>1.5</v>
      </c>
      <c r="D35" s="13" t="s">
        <v>6</v>
      </c>
      <c r="E35" s="14" t="s">
        <v>61</v>
      </c>
      <c r="F35" s="24" t="s">
        <v>64</v>
      </c>
    </row>
    <row r="36" spans="1:9" x14ac:dyDescent="0.25">
      <c r="A36" s="7">
        <v>43236</v>
      </c>
      <c r="B36" s="19">
        <f t="shared" ref="B36" si="28">WEEKNUM(A36)</f>
        <v>20</v>
      </c>
      <c r="C36" s="12">
        <v>2.5</v>
      </c>
      <c r="D36" s="13" t="s">
        <v>6</v>
      </c>
      <c r="E36" s="14" t="s">
        <v>62</v>
      </c>
      <c r="F36" s="25" t="s">
        <v>63</v>
      </c>
    </row>
    <row r="37" spans="1:9" ht="30" x14ac:dyDescent="0.25">
      <c r="A37" s="7">
        <v>43237</v>
      </c>
      <c r="B37" s="19">
        <f t="shared" ref="B37" si="29">WEEKNUM(A37)</f>
        <v>20</v>
      </c>
      <c r="C37" s="12">
        <v>2.25</v>
      </c>
      <c r="D37" s="13" t="s">
        <v>6</v>
      </c>
      <c r="E37" s="14" t="s">
        <v>62</v>
      </c>
      <c r="F37" s="25" t="s">
        <v>65</v>
      </c>
    </row>
    <row r="38" spans="1:9" ht="105" x14ac:dyDescent="0.25">
      <c r="A38" s="7">
        <v>43237</v>
      </c>
      <c r="B38" s="19">
        <f t="shared" ref="B38" si="30">WEEKNUM(A38)</f>
        <v>20</v>
      </c>
      <c r="C38" s="12">
        <v>1.833</v>
      </c>
      <c r="D38" s="13" t="s">
        <v>6</v>
      </c>
      <c r="E38" s="14" t="s">
        <v>62</v>
      </c>
      <c r="F38" s="26" t="s">
        <v>66</v>
      </c>
    </row>
    <row r="39" spans="1:9" x14ac:dyDescent="0.25">
      <c r="A39" s="7">
        <v>43237</v>
      </c>
      <c r="B39" s="19">
        <f t="shared" ref="B39" si="31">WEEKNUM(A39)</f>
        <v>20</v>
      </c>
      <c r="C39" s="12">
        <v>0.08</v>
      </c>
      <c r="D39" s="13" t="s">
        <v>8</v>
      </c>
      <c r="E39" s="14" t="s">
        <v>67</v>
      </c>
      <c r="F39" s="14"/>
      <c r="I39" s="27">
        <f>SUM(C7:C44)</f>
        <v>41.163525999999997</v>
      </c>
    </row>
    <row r="40" spans="1:9" ht="45" x14ac:dyDescent="0.25">
      <c r="A40" s="7">
        <v>43237</v>
      </c>
      <c r="B40" s="19">
        <f t="shared" ref="B40" si="32">WEEKNUM(A40)</f>
        <v>20</v>
      </c>
      <c r="C40" s="12">
        <v>1.08</v>
      </c>
      <c r="D40" s="13" t="s">
        <v>6</v>
      </c>
      <c r="E40" s="14" t="s">
        <v>68</v>
      </c>
      <c r="F40" s="14" t="s">
        <v>69</v>
      </c>
    </row>
    <row r="41" spans="1:9" ht="120" x14ac:dyDescent="0.25">
      <c r="A41" s="7">
        <v>43242</v>
      </c>
      <c r="B41" s="19">
        <f t="shared" ref="B41" si="33">WEEKNUM(A41)</f>
        <v>21</v>
      </c>
      <c r="C41" s="12">
        <v>1.2</v>
      </c>
      <c r="D41" s="13" t="s">
        <v>17</v>
      </c>
      <c r="E41" s="14" t="s">
        <v>70</v>
      </c>
      <c r="F41" s="14" t="s">
        <v>71</v>
      </c>
    </row>
    <row r="42" spans="1:9" ht="53.25" customHeight="1" x14ac:dyDescent="0.25">
      <c r="A42" s="7">
        <v>43242</v>
      </c>
      <c r="B42" s="19">
        <f t="shared" ref="B42" si="34">WEEKNUM(A42)</f>
        <v>21</v>
      </c>
      <c r="C42" s="12">
        <v>0.2</v>
      </c>
      <c r="D42" s="13" t="s">
        <v>8</v>
      </c>
      <c r="E42" s="14" t="s">
        <v>72</v>
      </c>
      <c r="F42" s="14"/>
    </row>
    <row r="43" spans="1:9" x14ac:dyDescent="0.25">
      <c r="A43" s="7">
        <v>43242</v>
      </c>
      <c r="B43" s="19">
        <f t="shared" ref="B43" si="35">WEEKNUM(A43)</f>
        <v>21</v>
      </c>
      <c r="C43" s="12">
        <v>1.111</v>
      </c>
      <c r="D43" s="13" t="s">
        <v>6</v>
      </c>
      <c r="E43" s="14" t="s">
        <v>73</v>
      </c>
      <c r="F43" s="14" t="s">
        <v>79</v>
      </c>
    </row>
    <row r="44" spans="1:9" ht="120" x14ac:dyDescent="0.25">
      <c r="A44" s="7">
        <v>43242</v>
      </c>
      <c r="B44" s="19">
        <f t="shared" ref="B44" si="36">WEEKNUM(A44)</f>
        <v>21</v>
      </c>
      <c r="C44" s="12">
        <v>2</v>
      </c>
      <c r="D44" s="13" t="s">
        <v>6</v>
      </c>
      <c r="E44" s="14" t="s">
        <v>74</v>
      </c>
      <c r="F44" s="14" t="s">
        <v>75</v>
      </c>
    </row>
    <row r="45" spans="1:9" x14ac:dyDescent="0.25">
      <c r="A45" s="7">
        <v>43242</v>
      </c>
      <c r="B45" s="19">
        <f t="shared" ref="B45" si="37">WEEKNUM(A45)</f>
        <v>21</v>
      </c>
      <c r="C45" s="12">
        <v>0.16666</v>
      </c>
      <c r="D45" s="13" t="s">
        <v>8</v>
      </c>
      <c r="E45" s="14" t="s">
        <v>76</v>
      </c>
      <c r="F45" s="14"/>
    </row>
    <row r="46" spans="1:9" ht="135" x14ac:dyDescent="0.25">
      <c r="A46" s="7">
        <v>43242</v>
      </c>
      <c r="B46" s="19">
        <f t="shared" ref="B46" si="38">WEEKNUM(A46)</f>
        <v>21</v>
      </c>
      <c r="C46" s="12">
        <v>2.0830000000000002</v>
      </c>
      <c r="D46" s="13" t="s">
        <v>6</v>
      </c>
      <c r="E46" s="14" t="s">
        <v>77</v>
      </c>
      <c r="F46" s="14" t="s">
        <v>78</v>
      </c>
    </row>
    <row r="47" spans="1:9" ht="60" x14ac:dyDescent="0.25">
      <c r="A47" s="7">
        <v>43243</v>
      </c>
      <c r="B47" s="19">
        <f t="shared" ref="B47" si="39">WEEKNUM(A47)</f>
        <v>21</v>
      </c>
      <c r="C47" s="12">
        <v>2.25</v>
      </c>
      <c r="D47" s="13" t="s">
        <v>6</v>
      </c>
      <c r="E47" s="14" t="s">
        <v>77</v>
      </c>
      <c r="F47" s="24" t="s">
        <v>81</v>
      </c>
    </row>
    <row r="48" spans="1:9" ht="30" x14ac:dyDescent="0.25">
      <c r="A48" s="7">
        <v>43243</v>
      </c>
      <c r="B48" s="19">
        <f t="shared" ref="B48" si="40">WEEKNUM(A48)</f>
        <v>21</v>
      </c>
      <c r="C48" s="12">
        <v>0.66666000000000003</v>
      </c>
      <c r="D48" s="13" t="s">
        <v>6</v>
      </c>
      <c r="E48" s="14" t="s">
        <v>80</v>
      </c>
      <c r="F48" s="14" t="s">
        <v>82</v>
      </c>
    </row>
    <row r="49" spans="1:7" x14ac:dyDescent="0.25">
      <c r="A49" s="7">
        <v>43243</v>
      </c>
      <c r="B49" s="19">
        <f t="shared" ref="B49" si="41">WEEKNUM(A49)</f>
        <v>21</v>
      </c>
      <c r="C49" s="12">
        <v>0.25</v>
      </c>
      <c r="D49" s="13" t="s">
        <v>8</v>
      </c>
      <c r="E49" s="14" t="s">
        <v>83</v>
      </c>
      <c r="F49" s="14"/>
    </row>
    <row r="50" spans="1:7" ht="45" x14ac:dyDescent="0.25">
      <c r="A50" s="7">
        <v>43243</v>
      </c>
      <c r="B50" s="19">
        <f t="shared" ref="B50" si="42">WEEKNUM(A50)</f>
        <v>21</v>
      </c>
      <c r="C50" s="12">
        <v>2.83</v>
      </c>
      <c r="D50" s="13" t="s">
        <v>6</v>
      </c>
      <c r="E50" s="14" t="s">
        <v>86</v>
      </c>
      <c r="F50" s="14" t="s">
        <v>87</v>
      </c>
    </row>
    <row r="51" spans="1:7" ht="30" x14ac:dyDescent="0.25">
      <c r="A51" s="7">
        <v>43244</v>
      </c>
      <c r="B51" s="19">
        <f t="shared" ref="B51" si="43">WEEKNUM(A51)</f>
        <v>21</v>
      </c>
      <c r="C51" s="12">
        <v>2.25</v>
      </c>
      <c r="D51" s="13" t="s">
        <v>6</v>
      </c>
      <c r="E51" s="14" t="s">
        <v>84</v>
      </c>
      <c r="F51" s="14" t="s">
        <v>85</v>
      </c>
    </row>
    <row r="52" spans="1:7" x14ac:dyDescent="0.25">
      <c r="A52" s="7">
        <v>43244</v>
      </c>
      <c r="B52" s="19">
        <f t="shared" ref="B52" si="44">WEEKNUM(A52)</f>
        <v>21</v>
      </c>
      <c r="C52" s="12">
        <v>1.5</v>
      </c>
      <c r="D52" s="13" t="s">
        <v>6</v>
      </c>
      <c r="E52" s="14" t="s">
        <v>84</v>
      </c>
      <c r="F52" s="14" t="s">
        <v>88</v>
      </c>
    </row>
    <row r="53" spans="1:7" x14ac:dyDescent="0.25">
      <c r="A53" s="7">
        <v>43244</v>
      </c>
      <c r="B53" s="19">
        <f t="shared" ref="B53" si="45">WEEKNUM(A53)</f>
        <v>21</v>
      </c>
      <c r="C53" s="12">
        <v>0.33333000000000002</v>
      </c>
      <c r="D53" s="13" t="s">
        <v>6</v>
      </c>
      <c r="E53" s="14" t="s">
        <v>89</v>
      </c>
      <c r="F53" s="14" t="s">
        <v>90</v>
      </c>
    </row>
    <row r="54" spans="1:7" ht="103.5" customHeight="1" x14ac:dyDescent="0.25">
      <c r="A54" s="7">
        <v>43244</v>
      </c>
      <c r="B54" s="19">
        <f t="shared" ref="B54" si="46">WEEKNUM(A54)</f>
        <v>21</v>
      </c>
      <c r="C54" s="12">
        <v>1.166666</v>
      </c>
      <c r="D54" s="13" t="s">
        <v>6</v>
      </c>
      <c r="E54" s="14" t="s">
        <v>95</v>
      </c>
      <c r="F54" s="14" t="s">
        <v>92</v>
      </c>
      <c r="G54" s="28" t="s">
        <v>91</v>
      </c>
    </row>
    <row r="55" spans="1:7" x14ac:dyDescent="0.25">
      <c r="A55" s="7">
        <v>43248</v>
      </c>
      <c r="B55" s="19">
        <f t="shared" ref="B55" si="47">WEEKNUM(A55)</f>
        <v>22</v>
      </c>
      <c r="C55" s="12">
        <v>1</v>
      </c>
      <c r="D55" s="13" t="s">
        <v>6</v>
      </c>
      <c r="E55" s="14" t="s">
        <v>93</v>
      </c>
      <c r="F55" s="14"/>
    </row>
    <row r="56" spans="1:7" x14ac:dyDescent="0.25">
      <c r="A56" s="7">
        <v>43248</v>
      </c>
      <c r="B56" s="19">
        <f t="shared" ref="B56" si="48">WEEKNUM(A56)</f>
        <v>22</v>
      </c>
      <c r="C56" s="12">
        <v>1.25</v>
      </c>
      <c r="D56" s="13" t="s">
        <v>6</v>
      </c>
      <c r="E56" s="14" t="s">
        <v>94</v>
      </c>
      <c r="F56" s="14"/>
    </row>
    <row r="57" spans="1:7" ht="90" x14ac:dyDescent="0.25">
      <c r="A57" s="7">
        <v>43248</v>
      </c>
      <c r="B57" s="19">
        <f t="shared" ref="B57" si="49">WEEKNUM(A57)</f>
        <v>22</v>
      </c>
      <c r="C57" s="12">
        <v>2.25</v>
      </c>
      <c r="D57" s="13" t="s">
        <v>6</v>
      </c>
      <c r="E57" s="14" t="s">
        <v>95</v>
      </c>
      <c r="F57" s="14" t="s">
        <v>96</v>
      </c>
    </row>
    <row r="58" spans="1:7" ht="45" x14ac:dyDescent="0.25">
      <c r="A58" s="7">
        <v>43249</v>
      </c>
      <c r="B58" s="19">
        <f t="shared" ref="B58" si="50">WEEKNUM(A58)</f>
        <v>22</v>
      </c>
      <c r="C58" s="12">
        <v>0.25</v>
      </c>
      <c r="D58" s="13" t="s">
        <v>17</v>
      </c>
      <c r="E58" s="14" t="s">
        <v>41</v>
      </c>
      <c r="F58" s="14" t="s">
        <v>97</v>
      </c>
    </row>
    <row r="59" spans="1:7" ht="30" x14ac:dyDescent="0.25">
      <c r="A59" s="7">
        <v>43249</v>
      </c>
      <c r="B59" s="19">
        <f t="shared" ref="B59" si="51">WEEKNUM(A59)</f>
        <v>22</v>
      </c>
      <c r="C59" s="12">
        <v>1.25</v>
      </c>
      <c r="D59" s="13" t="s">
        <v>6</v>
      </c>
      <c r="E59" s="14" t="s">
        <v>99</v>
      </c>
      <c r="F59" s="14" t="s">
        <v>98</v>
      </c>
    </row>
    <row r="60" spans="1:7" x14ac:dyDescent="0.25">
      <c r="A60" s="7">
        <v>43249</v>
      </c>
      <c r="B60" s="19">
        <f t="shared" ref="B60:B61" si="52">WEEKNUM(A60)</f>
        <v>22</v>
      </c>
      <c r="C60" s="12">
        <v>1</v>
      </c>
      <c r="D60" s="13" t="s">
        <v>6</v>
      </c>
      <c r="E60" s="14" t="s">
        <v>100</v>
      </c>
      <c r="F60" s="14"/>
    </row>
    <row r="61" spans="1:7" x14ac:dyDescent="0.25">
      <c r="A61" s="7">
        <v>43249</v>
      </c>
      <c r="B61" s="19">
        <f t="shared" si="52"/>
        <v>22</v>
      </c>
      <c r="C61" s="12">
        <v>1.25</v>
      </c>
      <c r="D61" s="13" t="s">
        <v>8</v>
      </c>
      <c r="E61" s="14" t="s">
        <v>101</v>
      </c>
      <c r="F61" s="14" t="s">
        <v>102</v>
      </c>
    </row>
    <row r="62" spans="1:7" x14ac:dyDescent="0.25">
      <c r="A62" s="7">
        <v>43249</v>
      </c>
      <c r="B62" s="19">
        <f t="shared" ref="B62" si="53">WEEKNUM(A62)</f>
        <v>22</v>
      </c>
      <c r="C62" s="12">
        <v>0.25</v>
      </c>
      <c r="D62" s="13" t="s">
        <v>8</v>
      </c>
      <c r="E62" s="14" t="s">
        <v>103</v>
      </c>
      <c r="F62" s="14" t="s">
        <v>104</v>
      </c>
    </row>
    <row r="63" spans="1:7" ht="30" x14ac:dyDescent="0.25">
      <c r="A63" s="7">
        <v>43249</v>
      </c>
      <c r="B63" s="19">
        <f t="shared" ref="B63" si="54">WEEKNUM(A63)</f>
        <v>22</v>
      </c>
      <c r="C63" s="12">
        <v>2.75</v>
      </c>
      <c r="D63" s="13" t="s">
        <v>6</v>
      </c>
      <c r="E63" s="14" t="s">
        <v>106</v>
      </c>
      <c r="F63" s="14" t="s">
        <v>107</v>
      </c>
      <c r="G63" s="28" t="s">
        <v>105</v>
      </c>
    </row>
    <row r="64" spans="1:7" ht="60" x14ac:dyDescent="0.25">
      <c r="A64" s="7">
        <v>43250</v>
      </c>
      <c r="B64" s="19">
        <f t="shared" ref="B64" si="55">WEEKNUM(A64)</f>
        <v>22</v>
      </c>
      <c r="C64" s="12">
        <v>1.5</v>
      </c>
      <c r="D64" s="13" t="s">
        <v>6</v>
      </c>
      <c r="E64" s="14" t="s">
        <v>106</v>
      </c>
      <c r="F64" s="14" t="s">
        <v>118</v>
      </c>
      <c r="G64" s="30" t="s">
        <v>109</v>
      </c>
    </row>
    <row r="65" spans="1:7" x14ac:dyDescent="0.25">
      <c r="A65" s="7">
        <v>43250</v>
      </c>
      <c r="B65" s="19">
        <f t="shared" ref="B65" si="56">WEEKNUM(A65)</f>
        <v>22</v>
      </c>
      <c r="C65" s="12">
        <v>0.16667000000000001</v>
      </c>
      <c r="D65" s="13" t="s">
        <v>8</v>
      </c>
      <c r="E65" s="14" t="s">
        <v>110</v>
      </c>
      <c r="F65" s="14"/>
    </row>
    <row r="66" spans="1:7" ht="30" x14ac:dyDescent="0.25">
      <c r="A66" s="7">
        <v>43250</v>
      </c>
      <c r="B66" s="19">
        <f t="shared" ref="B66" si="57">WEEKNUM(A66)</f>
        <v>22</v>
      </c>
      <c r="C66" s="12">
        <v>0.41110000000000002</v>
      </c>
      <c r="D66" s="13" t="s">
        <v>6</v>
      </c>
      <c r="E66" s="14" t="s">
        <v>111</v>
      </c>
      <c r="F66" s="14" t="s">
        <v>112</v>
      </c>
      <c r="G66" s="32" t="s">
        <v>132</v>
      </c>
    </row>
    <row r="67" spans="1:7" ht="30" x14ac:dyDescent="0.25">
      <c r="A67" s="7">
        <v>43250</v>
      </c>
      <c r="B67" s="19">
        <f t="shared" ref="B67" si="58">WEEKNUM(A67)</f>
        <v>22</v>
      </c>
      <c r="C67" s="12">
        <v>0.16666666999999999</v>
      </c>
      <c r="D67" s="13" t="s">
        <v>6</v>
      </c>
      <c r="E67" s="14" t="s">
        <v>113</v>
      </c>
      <c r="F67" s="14" t="s">
        <v>115</v>
      </c>
      <c r="G67" s="32"/>
    </row>
    <row r="68" spans="1:7" x14ac:dyDescent="0.25">
      <c r="A68" s="7">
        <v>43250</v>
      </c>
      <c r="B68" s="19">
        <f t="shared" ref="B68" si="59">WEEKNUM(A68)</f>
        <v>22</v>
      </c>
      <c r="C68" s="12">
        <v>0.33</v>
      </c>
      <c r="D68" s="13" t="s">
        <v>6</v>
      </c>
      <c r="E68" s="14" t="s">
        <v>114</v>
      </c>
      <c r="F68" s="14" t="s">
        <v>116</v>
      </c>
      <c r="G68" s="32"/>
    </row>
    <row r="69" spans="1:7" ht="30" x14ac:dyDescent="0.25">
      <c r="A69" s="7">
        <v>43250</v>
      </c>
      <c r="B69" s="19">
        <f t="shared" ref="B69" si="60">WEEKNUM(A69)</f>
        <v>22</v>
      </c>
      <c r="C69" s="12">
        <v>0.33</v>
      </c>
      <c r="D69" s="13" t="s">
        <v>6</v>
      </c>
      <c r="E69" s="14" t="s">
        <v>120</v>
      </c>
      <c r="F69" s="14" t="s">
        <v>117</v>
      </c>
      <c r="G69" s="32"/>
    </row>
    <row r="70" spans="1:7" ht="30" x14ac:dyDescent="0.25">
      <c r="A70" s="29">
        <v>43250</v>
      </c>
      <c r="B70" s="19">
        <f t="shared" ref="B70" si="61">WEEKNUM(A70)</f>
        <v>22</v>
      </c>
      <c r="C70" s="12">
        <v>0.84</v>
      </c>
      <c r="D70" s="13" t="s">
        <v>6</v>
      </c>
      <c r="E70" s="14" t="s">
        <v>121</v>
      </c>
      <c r="F70" s="14" t="s">
        <v>119</v>
      </c>
      <c r="G70" s="32"/>
    </row>
    <row r="71" spans="1:7" ht="45" x14ac:dyDescent="0.25">
      <c r="A71" s="29">
        <v>43250</v>
      </c>
      <c r="B71" s="19">
        <f t="shared" ref="B71" si="62">WEEKNUM(A71)</f>
        <v>22</v>
      </c>
      <c r="C71" s="12">
        <v>1.1666666666667</v>
      </c>
      <c r="D71" s="13" t="s">
        <v>6</v>
      </c>
      <c r="E71" s="14" t="s">
        <v>122</v>
      </c>
      <c r="F71" s="14" t="s">
        <v>123</v>
      </c>
      <c r="G71" s="32"/>
    </row>
    <row r="72" spans="1:7" ht="45" x14ac:dyDescent="0.25">
      <c r="A72" s="29">
        <v>43250</v>
      </c>
      <c r="B72" s="19">
        <f t="shared" ref="B72:B79" si="63">WEEKNUM(A72)</f>
        <v>22</v>
      </c>
      <c r="C72" s="12">
        <v>1.08</v>
      </c>
      <c r="D72" s="13" t="s">
        <v>6</v>
      </c>
      <c r="E72" s="14" t="s">
        <v>124</v>
      </c>
      <c r="F72" s="14" t="s">
        <v>125</v>
      </c>
      <c r="G72" s="32"/>
    </row>
    <row r="73" spans="1:7" ht="45" x14ac:dyDescent="0.25">
      <c r="A73" s="29">
        <v>43251</v>
      </c>
      <c r="B73" s="19">
        <f t="shared" si="63"/>
        <v>22</v>
      </c>
      <c r="C73" s="12">
        <v>1.5</v>
      </c>
      <c r="D73" s="13" t="s">
        <v>6</v>
      </c>
      <c r="E73" s="14" t="s">
        <v>126</v>
      </c>
      <c r="F73" s="14" t="s">
        <v>128</v>
      </c>
      <c r="G73" s="32"/>
    </row>
    <row r="74" spans="1:7" ht="30" x14ac:dyDescent="0.25">
      <c r="A74" s="29">
        <v>43251</v>
      </c>
      <c r="B74" s="19">
        <f t="shared" si="63"/>
        <v>22</v>
      </c>
      <c r="C74" s="12">
        <v>1.5</v>
      </c>
      <c r="D74" s="13" t="s">
        <v>6</v>
      </c>
      <c r="E74" s="14" t="s">
        <v>127</v>
      </c>
      <c r="F74" s="14" t="s">
        <v>130</v>
      </c>
      <c r="G74" s="32"/>
    </row>
    <row r="75" spans="1:7" ht="30" x14ac:dyDescent="0.25">
      <c r="A75" s="29">
        <v>43251</v>
      </c>
      <c r="B75" s="19">
        <f t="shared" si="63"/>
        <v>22</v>
      </c>
      <c r="C75" s="12">
        <v>0.5</v>
      </c>
      <c r="D75" s="13" t="s">
        <v>6</v>
      </c>
      <c r="E75" s="14" t="s">
        <v>129</v>
      </c>
      <c r="F75" s="14"/>
      <c r="G75" s="32"/>
    </row>
    <row r="76" spans="1:7" x14ac:dyDescent="0.25">
      <c r="A76" s="29">
        <v>43251</v>
      </c>
      <c r="B76" s="19">
        <f t="shared" si="63"/>
        <v>22</v>
      </c>
      <c r="C76" s="12">
        <v>1.75</v>
      </c>
      <c r="D76" s="13" t="s">
        <v>6</v>
      </c>
      <c r="E76" s="14" t="s">
        <v>93</v>
      </c>
      <c r="F76" s="14" t="s">
        <v>131</v>
      </c>
    </row>
    <row r="77" spans="1:7" ht="30" x14ac:dyDescent="0.25">
      <c r="A77" s="29">
        <v>43255</v>
      </c>
      <c r="B77" s="19">
        <f t="shared" si="63"/>
        <v>23</v>
      </c>
      <c r="C77" s="12">
        <v>1.5</v>
      </c>
      <c r="D77" s="13" t="s">
        <v>6</v>
      </c>
      <c r="E77" s="14" t="s">
        <v>133</v>
      </c>
      <c r="F77" s="14" t="s">
        <v>134</v>
      </c>
    </row>
    <row r="78" spans="1:7" ht="30" x14ac:dyDescent="0.25">
      <c r="A78" s="29">
        <v>43255</v>
      </c>
      <c r="B78" s="19">
        <f t="shared" si="63"/>
        <v>23</v>
      </c>
      <c r="C78" s="12">
        <v>0.75</v>
      </c>
      <c r="D78" s="13" t="s">
        <v>8</v>
      </c>
      <c r="E78" s="14" t="s">
        <v>135</v>
      </c>
      <c r="F78" s="14" t="s">
        <v>136</v>
      </c>
    </row>
    <row r="79" spans="1:7" x14ac:dyDescent="0.25">
      <c r="A79" s="29">
        <v>43255</v>
      </c>
      <c r="B79" s="19">
        <f t="shared" si="63"/>
        <v>23</v>
      </c>
      <c r="C79" s="12">
        <v>2.25</v>
      </c>
      <c r="D79" s="13" t="s">
        <v>8</v>
      </c>
      <c r="E79" s="14" t="s">
        <v>137</v>
      </c>
      <c r="F79" s="14"/>
    </row>
    <row r="80" spans="1:7" ht="30" x14ac:dyDescent="0.25">
      <c r="A80" s="29">
        <v>43256</v>
      </c>
      <c r="B80" s="19">
        <f t="shared" ref="B80" si="64">WEEKNUM(A80)</f>
        <v>23</v>
      </c>
      <c r="C80" s="12">
        <v>6.75</v>
      </c>
      <c r="D80" s="13" t="s">
        <v>8</v>
      </c>
      <c r="E80" s="14" t="s">
        <v>138</v>
      </c>
      <c r="F80" s="14"/>
    </row>
    <row r="81" spans="1:6" x14ac:dyDescent="0.25">
      <c r="A81" s="29">
        <v>43257</v>
      </c>
      <c r="B81" s="19">
        <f t="shared" ref="B81" si="65">WEEKNUM(A81)</f>
        <v>23</v>
      </c>
      <c r="C81" s="12">
        <v>3</v>
      </c>
      <c r="D81" s="13" t="s">
        <v>8</v>
      </c>
      <c r="E81" s="14" t="s">
        <v>139</v>
      </c>
      <c r="F81" s="14"/>
    </row>
    <row r="84" spans="1:6" x14ac:dyDescent="0.25">
      <c r="B84" s="20" t="s">
        <v>108</v>
      </c>
      <c r="C84" s="16">
        <f>SUM(C7:C81)</f>
        <v>91.400945336666695</v>
      </c>
    </row>
  </sheetData>
  <sheetProtection selectLockedCells="1"/>
  <mergeCells count="2">
    <mergeCell ref="A1:F2"/>
    <mergeCell ref="G66:G75"/>
  </mergeCells>
  <hyperlinks>
    <hyperlink ref="F34" r:id="rId1"/>
    <hyperlink ref="F35" r:id="rId2"/>
    <hyperlink ref="F38" display="  J'ai perdu du temps (10-15min) parce que j'essayais de &quot;développer moi-même&quot; l'ajout du temps de vol à la date de départ du vol alors qu'il y a déjà une fonction existante dateTime.AddHours() qui permet de le faire.                                      "/>
    <hyperlink ref="F47" r:id="rId3" display="https://stackoverflow.com/questions/1607336/calculate-difference-between-two-dates-number-of-days                                                                                                                    "/>
    <hyperlink ref="G54" r:id="rId4"/>
    <hyperlink ref="G63" r:id="rId5"/>
    <hyperlink ref="G64" r:id="rId6"/>
  </hyperlinks>
  <pageMargins left="0.7" right="0.7" top="0.75" bottom="0.75" header="0.3" footer="0.3"/>
  <pageSetup paperSize="9" scale="32"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026" r:id="rId10"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showInputMessage="1" showErrorMessage="1">
          <x14:formula1>
            <xm:f>Paramètres!$A$2:$A$7</xm:f>
          </x14:formula1>
          <xm:sqref>D7:D60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10.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3" sqref="C13"/>
    </sheetView>
  </sheetViews>
  <sheetFormatPr baseColWidth="10" defaultRowHeight="15" x14ac:dyDescent="0.25"/>
  <cols>
    <col min="1" max="1" width="16.5703125"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2018-06-05T13:43:57Z</dcterms:modified>
</cp:coreProperties>
</file>