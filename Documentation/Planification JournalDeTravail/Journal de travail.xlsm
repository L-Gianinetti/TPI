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Journal!$A$1:$G$66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84" i="1" l="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<sst xmlns="http://schemas.openxmlformats.org/spreadsheetml/2006/main" count="224" uniqueCount="138">
  <si>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</si>
  <si>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</si>
  <si>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</si>
  <si>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</si>
  <si>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</si>
  <si>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</si>
  <si>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</si>
  <si>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</si>
  <si>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</si>
  <si>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</si>
  <si>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</si>
  <si>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</si>
  <si>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</si>
  <si>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</si>
  <si>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</si>
  <si>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</si>
  <si>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</si>
  <si>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</si>
  <si>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</si>
  <si>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</si>
  <si>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</si>
  <si>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</si>
  <si>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</si>
  <si>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</si>
  <si>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</si>
  <si>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</si>
  <si>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</si>
  <si>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</si>
  <si>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</si>
  <si>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</si>
  <si>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</si>
  <si>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</si>
  <si>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</si>
  <si>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</si>
  <si>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</si>
  <si>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</si>
  <si>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</si>
  <si>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</si>
  <si>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</si>
  <si>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</si>
  <si>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</si>
  <si>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</si>
  <si>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</si>
  <si>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</si>
  <si>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</si>
  <si>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</si>
  <si>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</si>
  <si>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</si>
  <si>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</si>
  <si>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</si>
  <si>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</si>
  <si>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</si>
  <si>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</si>
  <si>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</si>
  <si>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</si>
  <si>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</si>
  <si>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</si>
  <si>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</si>
  <si>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</si>
  <si>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</si>
  <si>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</si>
  <si>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</si>
  <si>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</si>
  <si>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</si>
  <si>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</si>
  <si>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</si>
  <si>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</si>
  <si>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</si>
  <si>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</si>
  <si>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</si>
  <si>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</si>
  <si>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</si>
  <si>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</si>
  <si>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</si>
  <si>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</si>
  <si>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</si>
  <si>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</si>
  <si>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</si>
  <si>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</si>
  <si>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</si>
  <si>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</si>
  <si>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</si>
  <si>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</si>
  <si>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</si>
  <si>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</si>
  <si>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</si>
  <si>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</si>
  <si>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</si>
  <si>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</si>
  <si>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</si>
  <si>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</si>
  <si>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</si>
  <si>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</si>
  <si>
    <t>Commentaires/refactoring</t>
  </si>
  <si>
    <t>Affectation d'un pilote à un vol - RemovePilotsInVacation</t>
  </si>
  <si>
    <t>Affectation d'un pilote à un vol - RemovePilotsIfPilotHasntRestThisWeek()</t>
  </si>
  <si>
    <t>La fonction ne fonctionne pas, je ne pense pas avoir le temps de l'implémenter si je veux faire les tests automatiques pour l'affectation des pilotes à un vol et implémenter la génération du planning. J'ai fait le pseudo code de la fonction. Il faut que je regarde avec Mme Andolfatto afin de savoir quoi faire. Abandon de cette partie ? ou est ce que j'abandonne la génération du planing et je me concentre sur cette fonction</t>
  </si>
  <si>
    <t>Je vais abandonner deux des contraintes pour l'affectation d'un pilote a un vol afin d'avoir le temps de faire la génération du planing, puis reviendrai sur ses contraintes si j'ai le temps apres avoir fait la génération du planning</t>
  </si>
  <si>
    <t>Sur conseil de Mme Andolfatto, parce que j'affichais les erreurs seulement dans la console et l'utilisateur ne pourra les voir</t>
  </si>
  <si>
    <t>Créé une classe MYSQLException afin de pouvoir retourner un message d'erreur aux utilisateurs lorsqu'une exception arrive. Throw exception</t>
  </si>
  <si>
    <t>Test automatique pour l'ajout d'un pilote à un vol</t>
  </si>
  <si>
    <t>Tests unitaires pour l'ajout d'un pilote à un vol</t>
  </si>
  <si>
    <t>Il y a un bug, je vais d'abord faire la génération du planing puis j'y reviendrai</t>
  </si>
  <si>
    <t>Mis a jour de tests unitaires dans lesquelles je ne prévoyais pas certains cas</t>
  </si>
  <si>
    <t>Plusieurs bugs sont appru, je les règlerai apres la génération du planing</t>
  </si>
  <si>
    <t>https://stackoverflow.com/questions/18757097/writing-data-into-csv-file-in-c-sharp</t>
  </si>
  <si>
    <t>Génération du planing</t>
  </si>
  <si>
    <t>Génère le planing, il faut encore que je fasse la création d'un dossier commun, et d'un fichier par pilote</t>
  </si>
  <si>
    <t>Temps total</t>
  </si>
  <si>
    <t>https://stackoverflow.com/questions/25032523/c-sharp-asp-net-selecting-multiple-column-from-same-mysql-command-and-use-them-i</t>
  </si>
  <si>
    <t>Génération du planing - tests untaires</t>
  </si>
  <si>
    <t>Correction bug - lors de l'ajout d'un vol, pour calculer l'heure d'arrivée les minutes n'étaient pas prisent en compte</t>
  </si>
  <si>
    <t>J'utilisais un double, avec un float cela fonctionne</t>
  </si>
  <si>
    <t>Correction bug - lors de l'ajout d'une ligne, on pouvait ajouter une ligne qui existe déjà</t>
  </si>
  <si>
    <t>Correction bug - lors de l'ajout d'un vol, on pouvait ajouter un vol déjà existant</t>
  </si>
  <si>
    <t>Si la ligne existe déjà un message d'avertissement apparait et la ligne n'est pas créée</t>
  </si>
  <si>
    <t>Si le vol  existe déjà un message d'avertissement apparait et le vol n'est pas créé</t>
  </si>
  <si>
    <t>Le nom de l'aeroport est récupéré grâce a une requete a la base de données</t>
  </si>
  <si>
    <t>Terminé, je vais maintenant corriger les différents bugs et faire la documentation afin que les fonctionalités implémentées soient fonctionelles a 100%, puis si j'ai encore du temps je ferai les fonctionalités manquantes à l'affectation d'un vol à un pilote</t>
  </si>
  <si>
    <t>Un message d'avertissement apparait et les vacances ne sont pas ajoutées</t>
  </si>
  <si>
    <t>Correction bug - Ajout d'un vol - Dans la fonction qui sert a afficher la date d'arrivée du vol et la fonction d'ajout de vol, je récupèrai le nom de l'aéroport en "dur"</t>
  </si>
  <si>
    <t>Correction bug - Planification vacances - si le pilote travaillait pendant la periode de vacances que l'on veut ajouter, les vacances étaient quand meme ajoutées</t>
  </si>
  <si>
    <t>Correction bug - Lorsqu'on charge les pilotes disponibles pour le vol, la localisation des pilotes était prise en compte par rapport à la date actuelle et non la date du vol, du coup les pilotes affichés n'étaient pas forcément ceux qui sont dans le bon aéroport à la date du vol</t>
  </si>
  <si>
    <t>Les pilotes affichés sont bien dans l'aéroport de départ du vol  à la date du vol</t>
  </si>
  <si>
    <t>Correction bug - l'ajout du temps de vol se fait au moment de l'affectation d'un vol à un pilote et non apres que le vol soit effectué</t>
  </si>
  <si>
    <t>Pas encore terminé, je devrai arriver a une solution ou le temps de vol se met a jour au bon moment, mais si un vol dure plus de 10h et a plusieurs pilotes la totalité du temps de vol sera ajouté aux deux pilotes</t>
  </si>
  <si>
    <t>Correction bug - l'ajout du temps de vol se fait au moment de l'affectation d'un vol à un pilote et non apres que le vol soit effectué - la position actuelle du pilote n'était pas mise à jour</t>
  </si>
  <si>
    <t>Correction bug - l'affichage des données ne se recharge pas automatiquement lors de l'insertion de nouvelles données</t>
  </si>
  <si>
    <t>L'ajout du temps de vol et la maj de la localisation du pilote se font à chaque démarrage de l'application, changement dans la base de données du champ flightTime en float alors qu'avant il était en int</t>
  </si>
  <si>
    <t>Correction bug - un pilote pouvait être affecté à un vol dont la date est dépassée ou dans un vol ou un pilote était déjà affecté</t>
  </si>
  <si>
    <t>dgvFlights n'est pas mis à jour après l'affectation d'un vol à un pilote, je n'arrive pas à le faire, il faut relancer frmDisplay pour que ca se met à jour</t>
  </si>
  <si>
    <t>Presque terminé, il faut que je finisse juste qqe commentaires</t>
  </si>
  <si>
    <t>LES TESTS D'ACCEPTATION ONT ÉTÉ FAIT AU FUR ET A MESURE DE LA RESOLUTION DES BUGS, JE FERAI ENCORE 1H DE TEST D'ACCEPTATION LUNDI MATIN</t>
  </si>
  <si>
    <t>Correction bugs - divers affichage</t>
  </si>
  <si>
    <t>Mme Andolfatto a réalisé des tests d'accpetation, ses corrections correspondent aux point ressorti par ses tests d'acceptation</t>
  </si>
  <si>
    <t>MLD - diagramme de classe</t>
  </si>
  <si>
    <t>Le diagramme de classe généré avec astah n'est pas très clair, je vais voir pour le faire à la main éventuellement</t>
  </si>
  <si>
    <t>Manuel d'utilisation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</si>
</sst>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0" fillId="0" borderId="0" xfId="0" applyAlignment="1" applyProtection="1">
      <alignment wrapText="1"/>
      <protection locked="0"/>
    </xf>
    <xf numFmtId="16" fontId="0" fillId="0" borderId="0" xfId="0" applyNumberFormat="1" applyAlignment="1" applyProtection="1">
      <alignment horizontal="center" vertical="center"/>
      <protection locked="0"/>
    </xf>
    <xf numFmtId="0" fontId="3" fillId="0" borderId="0" xfId="0" applyFont="1" applyAlignment="1">
      <alignment horizontal="center"/>
    </xf>
    <xf numFmtId="0" fontId="0" fillId="3" borderId="2" xfId="0" applyFill="1" applyBorder="1" applyAlignment="1" applyProtection="1">
      <alignment horizontal="center" vertical="center" wrapText="1"/>
      <protection locked="0"/>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drawing" Target="../drawings/drawing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printerSettings" Target="../printerSettings/printerSettings1.bin"/><Relationship Id="rId5" Type="http://schemas.openxmlformats.org/officeDocument/2006/relationships/hyperlink" Target="https://stackoverflow.com/questions/18757097/writing-data-into-csv-file-in-c-sharp" TargetMode="External"/><Relationship Id="rId4" Type="http://schemas.openxmlformats.org/officeDocument/2006/relationships/hyperlink" Target="https://stackoverflow.com/questions/38039/how-can-i-get-the-datetime-for-the-start-of-the-week"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4"/>
  <sheetViews>
    <sheetView tabSelected="1" topLeftCell="A61" zoomScale="70" zoomScaleNormal="70" zoomScaleSheetLayoutView="85" workbookViewId="0">
      <selection activeCell="C85" sqref="C85"/>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31" t="s">
        <v>16</v>
      </c>
      <c r="B1" s="31"/>
      <c r="C1" s="31"/>
      <c r="D1" s="31"/>
      <c r="E1" s="31"/>
      <c r="F1" s="31"/>
    </row>
    <row r="2" spans="1:9" s="21" customFormat="1" ht="14.25" x14ac:dyDescent="0.2">
      <c r="A2" s="31"/>
      <c r="B2" s="31"/>
      <c r="C2" s="31"/>
      <c r="D2" s="31"/>
      <c r="E2" s="31"/>
      <c r="F2" s="31"/>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95</v>
      </c>
      <c r="F54" s="14" t="s">
        <v>92</v>
      </c>
      <c r="G54" s="28" t="s">
        <v>91</v>
      </c>
    </row>
    <row r="55" spans="1:7" x14ac:dyDescent="0.25">
      <c r="A55" s="7">
        <v>43248</v>
      </c>
      <c r="B55" s="19">
        <f t="shared" ref="B55" si="47">WEEKNUM(A55)</f>
        <v>22</v>
      </c>
      <c r="C55" s="12">
        <v>1</v>
      </c>
      <c r="D55" s="13" t="s">
        <v>6</v>
      </c>
      <c r="E55" s="14" t="s">
        <v>93</v>
      </c>
      <c r="F55" s="14"/>
    </row>
    <row r="56" spans="1:7" x14ac:dyDescent="0.25">
      <c r="A56" s="7">
        <v>43248</v>
      </c>
      <c r="B56" s="19">
        <f t="shared" ref="B56" si="48">WEEKNUM(A56)</f>
        <v>22</v>
      </c>
      <c r="C56" s="12">
        <v>1.25</v>
      </c>
      <c r="D56" s="13" t="s">
        <v>6</v>
      </c>
      <c r="E56" s="14" t="s">
        <v>94</v>
      </c>
      <c r="F56" s="14"/>
    </row>
    <row r="57" spans="1:7" ht="90" x14ac:dyDescent="0.25">
      <c r="A57" s="7">
        <v>43248</v>
      </c>
      <c r="B57" s="19">
        <f t="shared" ref="B57" si="49">WEEKNUM(A57)</f>
        <v>22</v>
      </c>
      <c r="C57" s="12">
        <v>2.25</v>
      </c>
      <c r="D57" s="13" t="s">
        <v>6</v>
      </c>
      <c r="E57" s="14" t="s">
        <v>95</v>
      </c>
      <c r="F57" s="14" t="s">
        <v>96</v>
      </c>
    </row>
    <row r="58" spans="1:7" ht="45" x14ac:dyDescent="0.25">
      <c r="A58" s="7">
        <v>43249</v>
      </c>
      <c r="B58" s="19">
        <f t="shared" ref="B58" si="50">WEEKNUM(A58)</f>
        <v>22</v>
      </c>
      <c r="C58" s="12">
        <v>0.25</v>
      </c>
      <c r="D58" s="13" t="s">
        <v>17</v>
      </c>
      <c r="E58" s="14" t="s">
        <v>41</v>
      </c>
      <c r="F58" s="14" t="s">
        <v>97</v>
      </c>
    </row>
    <row r="59" spans="1:7" ht="30" x14ac:dyDescent="0.25">
      <c r="A59" s="7">
        <v>43249</v>
      </c>
      <c r="B59" s="19">
        <f t="shared" ref="B59" si="51">WEEKNUM(A59)</f>
        <v>22</v>
      </c>
      <c r="C59" s="12">
        <v>1.25</v>
      </c>
      <c r="D59" s="13" t="s">
        <v>6</v>
      </c>
      <c r="E59" s="14" t="s">
        <v>99</v>
      </c>
      <c r="F59" s="14" t="s">
        <v>98</v>
      </c>
    </row>
    <row r="60" spans="1:7" x14ac:dyDescent="0.25">
      <c r="A60" s="7">
        <v>43249</v>
      </c>
      <c r="B60" s="19">
        <f t="shared" ref="B60:B61" si="52">WEEKNUM(A60)</f>
        <v>22</v>
      </c>
      <c r="C60" s="12">
        <v>1</v>
      </c>
      <c r="D60" s="13" t="s">
        <v>6</v>
      </c>
      <c r="E60" s="14" t="s">
        <v>100</v>
      </c>
      <c r="F60" s="14"/>
    </row>
    <row r="61" spans="1:7" x14ac:dyDescent="0.25">
      <c r="A61" s="7">
        <v>43249</v>
      </c>
      <c r="B61" s="19">
        <f t="shared" si="52"/>
        <v>22</v>
      </c>
      <c r="C61" s="12">
        <v>1.25</v>
      </c>
      <c r="D61" s="13" t="s">
        <v>8</v>
      </c>
      <c r="E61" s="14" t="s">
        <v>101</v>
      </c>
      <c r="F61" s="14" t="s">
        <v>102</v>
      </c>
    </row>
    <row r="62" spans="1:7" x14ac:dyDescent="0.25">
      <c r="A62" s="7">
        <v>43249</v>
      </c>
      <c r="B62" s="19">
        <f t="shared" ref="B62" si="53">WEEKNUM(A62)</f>
        <v>22</v>
      </c>
      <c r="C62" s="12">
        <v>0.25</v>
      </c>
      <c r="D62" s="13" t="s">
        <v>8</v>
      </c>
      <c r="E62" s="14" t="s">
        <v>103</v>
      </c>
      <c r="F62" s="14" t="s">
        <v>104</v>
      </c>
    </row>
    <row r="63" spans="1:7" ht="30" x14ac:dyDescent="0.25">
      <c r="A63" s="7">
        <v>43249</v>
      </c>
      <c r="B63" s="19">
        <f t="shared" ref="B63" si="54">WEEKNUM(A63)</f>
        <v>22</v>
      </c>
      <c r="C63" s="12">
        <v>2.75</v>
      </c>
      <c r="D63" s="13" t="s">
        <v>6</v>
      </c>
      <c r="E63" s="14" t="s">
        <v>106</v>
      </c>
      <c r="F63" s="14" t="s">
        <v>107</v>
      </c>
      <c r="G63" s="28" t="s">
        <v>105</v>
      </c>
    </row>
    <row r="64" spans="1:7" ht="60" x14ac:dyDescent="0.25">
      <c r="A64" s="7">
        <v>43250</v>
      </c>
      <c r="B64" s="19">
        <f t="shared" ref="B64" si="55">WEEKNUM(A64)</f>
        <v>22</v>
      </c>
      <c r="C64" s="12">
        <v>1.5</v>
      </c>
      <c r="D64" s="13" t="s">
        <v>6</v>
      </c>
      <c r="E64" s="14" t="s">
        <v>106</v>
      </c>
      <c r="F64" s="14" t="s">
        <v>118</v>
      </c>
      <c r="G64" s="29" t="s">
        <v>109</v>
      </c>
    </row>
    <row r="65" spans="1:7" x14ac:dyDescent="0.25">
      <c r="A65" s="7">
        <v>43250</v>
      </c>
      <c r="B65" s="19">
        <f t="shared" ref="B65" si="56">WEEKNUM(A65)</f>
        <v>22</v>
      </c>
      <c r="C65" s="12">
        <v>0.16667000000000001</v>
      </c>
      <c r="D65" s="13" t="s">
        <v>8</v>
      </c>
      <c r="E65" s="14" t="s">
        <v>110</v>
      </c>
      <c r="F65" s="14"/>
    </row>
    <row r="66" spans="1:7" ht="30" x14ac:dyDescent="0.25">
      <c r="A66" s="7">
        <v>43250</v>
      </c>
      <c r="B66" s="19">
        <f t="shared" ref="B66" si="57">WEEKNUM(A66)</f>
        <v>22</v>
      </c>
      <c r="C66" s="12">
        <v>0.41110000000000002</v>
      </c>
      <c r="D66" s="13" t="s">
        <v>6</v>
      </c>
      <c r="E66" s="14" t="s">
        <v>111</v>
      </c>
      <c r="F66" s="14" t="s">
        <v>112</v>
      </c>
      <c r="G66" s="32" t="s">
        <v>132</v>
      </c>
    </row>
    <row r="67" spans="1:7" ht="30" x14ac:dyDescent="0.25">
      <c r="A67" s="7">
        <v>43250</v>
      </c>
      <c r="B67" s="19">
        <f t="shared" ref="B67" si="58">WEEKNUM(A67)</f>
        <v>22</v>
      </c>
      <c r="C67" s="12">
        <v>0.16666666999999999</v>
      </c>
      <c r="D67" s="13" t="s">
        <v>6</v>
      </c>
      <c r="E67" s="14" t="s">
        <v>113</v>
      </c>
      <c r="F67" s="14" t="s">
        <v>115</v>
      </c>
      <c r="G67" s="32"/>
    </row>
    <row r="68" spans="1:7" x14ac:dyDescent="0.25">
      <c r="A68" s="7">
        <v>43250</v>
      </c>
      <c r="B68" s="19">
        <f t="shared" ref="B68" si="59">WEEKNUM(A68)</f>
        <v>22</v>
      </c>
      <c r="C68" s="12">
        <v>0.33</v>
      </c>
      <c r="D68" s="13" t="s">
        <v>6</v>
      </c>
      <c r="E68" s="14" t="s">
        <v>114</v>
      </c>
      <c r="F68" s="14" t="s">
        <v>116</v>
      </c>
      <c r="G68" s="32"/>
    </row>
    <row r="69" spans="1:7" ht="30" x14ac:dyDescent="0.25">
      <c r="A69" s="7">
        <v>43250</v>
      </c>
      <c r="B69" s="19">
        <f t="shared" ref="B69" si="60">WEEKNUM(A69)</f>
        <v>22</v>
      </c>
      <c r="C69" s="12">
        <v>0.33</v>
      </c>
      <c r="D69" s="13" t="s">
        <v>6</v>
      </c>
      <c r="E69" s="14" t="s">
        <v>120</v>
      </c>
      <c r="F69" s="14" t="s">
        <v>117</v>
      </c>
      <c r="G69" s="32"/>
    </row>
    <row r="70" spans="1:7" ht="30" x14ac:dyDescent="0.25">
      <c r="A70" s="30">
        <v>43250</v>
      </c>
      <c r="B70" s="19">
        <f t="shared" ref="B70" si="61">WEEKNUM(A70)</f>
        <v>22</v>
      </c>
      <c r="C70" s="12">
        <v>0.84</v>
      </c>
      <c r="D70" s="13" t="s">
        <v>6</v>
      </c>
      <c r="E70" s="14" t="s">
        <v>121</v>
      </c>
      <c r="F70" s="14" t="s">
        <v>119</v>
      </c>
      <c r="G70" s="32"/>
    </row>
    <row r="71" spans="1:7" ht="45" x14ac:dyDescent="0.25">
      <c r="A71" s="30">
        <v>43250</v>
      </c>
      <c r="B71" s="19">
        <f t="shared" ref="B71" si="62">WEEKNUM(A71)</f>
        <v>22</v>
      </c>
      <c r="C71" s="12">
        <v>1.1666666666667</v>
      </c>
      <c r="D71" s="13" t="s">
        <v>6</v>
      </c>
      <c r="E71" s="14" t="s">
        <v>122</v>
      </c>
      <c r="F71" s="14" t="s">
        <v>123</v>
      </c>
      <c r="G71" s="32"/>
    </row>
    <row r="72" spans="1:7" ht="45" x14ac:dyDescent="0.25">
      <c r="A72" s="30">
        <v>43250</v>
      </c>
      <c r="B72" s="19">
        <f>WEEKNUM(A72)</f>
        <v>22</v>
      </c>
      <c r="C72" s="12">
        <v>1.08</v>
      </c>
      <c r="D72" s="13" t="s">
        <v>6</v>
      </c>
      <c r="E72" s="14" t="s">
        <v>124</v>
      </c>
      <c r="F72" s="14" t="s">
        <v>125</v>
      </c>
      <c r="G72" s="32"/>
    </row>
    <row r="73" spans="1:7" ht="45" x14ac:dyDescent="0.25">
      <c r="A73" s="30">
        <v>43251</v>
      </c>
      <c r="B73" s="19">
        <f>WEEKNUM(A73)</f>
        <v>22</v>
      </c>
      <c r="C73" s="12">
        <v>1.5</v>
      </c>
      <c r="D73" s="13" t="s">
        <v>6</v>
      </c>
      <c r="E73" s="14" t="s">
        <v>126</v>
      </c>
      <c r="F73" s="14" t="s">
        <v>128</v>
      </c>
      <c r="G73" s="32"/>
    </row>
    <row r="74" spans="1:7" ht="30" x14ac:dyDescent="0.25">
      <c r="A74" s="30">
        <v>43251</v>
      </c>
      <c r="B74" s="19">
        <f>WEEKNUM(A74)</f>
        <v>22</v>
      </c>
      <c r="C74" s="12">
        <v>1.5</v>
      </c>
      <c r="D74" s="13" t="s">
        <v>6</v>
      </c>
      <c r="E74" s="14" t="s">
        <v>127</v>
      </c>
      <c r="F74" s="14" t="s">
        <v>130</v>
      </c>
      <c r="G74" s="32"/>
    </row>
    <row r="75" spans="1:7" ht="30" x14ac:dyDescent="0.25">
      <c r="A75" s="30">
        <v>43251</v>
      </c>
      <c r="B75" s="19">
        <f>WEEKNUM(A75)</f>
        <v>22</v>
      </c>
      <c r="C75" s="12">
        <v>0.5</v>
      </c>
      <c r="D75" s="13" t="s">
        <v>6</v>
      </c>
      <c r="E75" s="14" t="s">
        <v>129</v>
      </c>
      <c r="F75" s="14"/>
      <c r="G75" s="32"/>
    </row>
    <row r="76" spans="1:7" x14ac:dyDescent="0.25">
      <c r="A76" s="30">
        <v>43251</v>
      </c>
      <c r="B76" s="19">
        <f>WEEKNUM(A76)</f>
        <v>22</v>
      </c>
      <c r="C76" s="12">
        <v>1.75</v>
      </c>
      <c r="D76" s="13" t="s">
        <v>6</v>
      </c>
      <c r="E76" s="14" t="s">
        <v>93</v>
      </c>
      <c r="F76" s="14" t="s">
        <v>131</v>
      </c>
    </row>
    <row r="77" spans="1:7" ht="30" x14ac:dyDescent="0.25">
      <c r="A77" s="30">
        <v>43255</v>
      </c>
      <c r="B77" s="19">
        <f>WEEKNUM(A77)</f>
        <v>23</v>
      </c>
      <c r="C77" s="12">
        <v>1.5</v>
      </c>
      <c r="D77" s="13" t="s">
        <v>6</v>
      </c>
      <c r="E77" s="14" t="s">
        <v>133</v>
      </c>
      <c r="F77" s="14" t="s">
        <v>134</v>
      </c>
    </row>
    <row r="78" spans="1:7" ht="30" x14ac:dyDescent="0.25">
      <c r="A78" s="30">
        <v>43255</v>
      </c>
      <c r="B78" s="19">
        <f>WEEKNUM(A78)</f>
        <v>23</v>
      </c>
      <c r="C78" s="12">
        <v>0.75</v>
      </c>
      <c r="D78" s="13" t="s">
        <v>8</v>
      </c>
      <c r="E78" s="14" t="s">
        <v>135</v>
      </c>
      <c r="F78" s="14" t="s">
        <v>136</v>
      </c>
    </row>
    <row r="79" spans="1:7" x14ac:dyDescent="0.25">
      <c r="A79" s="30">
        <v>43255</v>
      </c>
      <c r="B79" s="19">
        <f>WEEKNUM(A79)</f>
        <v>23</v>
      </c>
      <c r="C79" s="12">
        <v>2.25</v>
      </c>
      <c r="D79" s="13" t="s">
        <v>8</v>
      </c>
      <c r="E79" s="14" t="s">
        <v>137</v>
      </c>
      <c r="F79" s="14"/>
    </row>
    <row r="84" spans="2:3" x14ac:dyDescent="0.25">
      <c r="B84" s="20" t="s">
        <v>108</v>
      </c>
      <c r="C84" s="16">
        <f>SUM(C7:C79)</f>
        <v>81.650945336666695</v>
      </c>
    </row>
  </sheetData>
  <sheetProtection selectLockedCells="1"/>
  <mergeCells count="2">
    <mergeCell ref="A1:F2"/>
    <mergeCell ref="G66:G75"/>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 ref="G63" r:id="rId5"/>
  </hyperlinks>
  <pageMargins left="0.7" right="0.7" top="0.75" bottom="0.75" header="0.3" footer="0.3"/>
  <pageSetup paperSize="9" scale="32"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2018-06-04T13:50:43Z</dcterms:modified>
</cp:coreProperties>
</file>