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definedNames>
    <definedName name="base">Journal!$A$6</definedName>
    <definedName name="_xlnm.Print_Area" localSheetId="0">Journal!$A$1:$F$45</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7" i="1" l="1"/>
  <c r="B36" i="1"/>
  <c r="B35" i="1"/>
  <c r="B34" i="1"/>
  <c r="B33" i="1"/>
  <c r="B32" i="1"/>
  <c r="B31" i="1"/>
  <c r="B30" i="1"/>
  <c r="B29" i="1"/>
  <c r="B28" i="1"/>
  <c r="B27" i="1"/>
  <c r="B26" i="1"/>
  <c r="B25" i="1"/>
  <c r="B24" i="1"/>
  <c r="B23" i="1"/>
  <c r="B20" i="1"/>
  <c r="B22" i="1"/>
  <c r="B21" i="1"/>
  <c r="B19" i="1"/>
  <c r="B18" i="1"/>
  <c r="B17" i="1"/>
  <c r="B16" i="1"/>
  <c r="B15" i="1"/>
  <c r="B14" i="1"/>
  <c r="B13" i="1"/>
  <c r="B12" i="1"/>
  <c r="B11" i="1"/>
  <c r="B10" i="1"/>
  <c r="B9" i="1"/>
  <c r="B7" i="1"/>
  <c r="B8" i="1"/>
</calcChain>
</file>

<file path=xl/sharedStrings.xml><?xml version="1.0" encoding="utf-8"?>
<sst xmlns="http://schemas.openxmlformats.org/spreadsheetml/2006/main" count="103" uniqueCount="66">
  <si>
    <t>Description</t>
  </si>
  <si>
    <t>Jour</t>
  </si>
  <si>
    <t>Temps [h]</t>
  </si>
  <si>
    <t>Type</t>
  </si>
  <si>
    <t>Types de tâches</t>
  </si>
  <si>
    <t>Analyse</t>
  </si>
  <si>
    <t>Implémentation</t>
  </si>
  <si>
    <t>Tests</t>
  </si>
  <si>
    <t>Documentation</t>
  </si>
  <si>
    <t>Absence</t>
  </si>
  <si>
    <t>Total général</t>
  </si>
  <si>
    <t>Semaine</t>
  </si>
  <si>
    <t>Somme de Temps [h]</t>
  </si>
  <si>
    <t>Remarques/problèmes/déductions</t>
  </si>
  <si>
    <t>Réalisé par: Gianinetti Lucas</t>
  </si>
  <si>
    <t>Classe: Si-ca2a</t>
  </si>
  <si>
    <t>PROJET: Application de planification de vols aériens</t>
  </si>
  <si>
    <t>Séance experts</t>
  </si>
  <si>
    <t>Validation du cahier des charges</t>
  </si>
  <si>
    <t>Je vais créer mes propres données. Un dépacement du temps annoncé dans le journal de travail est acceptable si : -Les heures sont notées clairement dans le journal de travail -Le temps supplémentaire ne dépasse pas 10% du temps annoncé.</t>
  </si>
  <si>
    <t>Réalisation de la planification</t>
  </si>
  <si>
    <t>Revue de la planification avec ma chef de projet - Corrections</t>
  </si>
  <si>
    <t>Les pauses ne sont pas comptées donc le projet fini le mardi 5 juin à la place du 6 juin. Il manque les tests d'acceptation. Ses deux points ont été corrigés</t>
  </si>
  <si>
    <t>Realisation des maquettes</t>
  </si>
  <si>
    <t>Use case</t>
  </si>
  <si>
    <t>Introduction, objectifs, planification initiale</t>
  </si>
  <si>
    <t>Introduction pas terminée</t>
  </si>
  <si>
    <t>Scenarii</t>
  </si>
  <si>
    <t>Introduction, use case, scenarii</t>
  </si>
  <si>
    <t>Ajout d'un champ dans une maquette</t>
  </si>
  <si>
    <t>L'utilisateur peut rentrer la distance qui sépare deux lieux lorsqu'il crée une ligne.</t>
  </si>
  <si>
    <t>MCD/MLD</t>
  </si>
  <si>
    <t>Création de l'interface graphique sur Visual Studio</t>
  </si>
  <si>
    <t>Réflexion MCD/MLD</t>
  </si>
  <si>
    <t>Maj des maquettes/Interface graphiques/Scenarri/Use case</t>
  </si>
  <si>
    <t>Ajout des éléments concernant la gestion des vacances</t>
  </si>
  <si>
    <t>MCD/MLD + explication de certains champs du MLD, interfaces graphiques, risques techniques et stratégie de tests</t>
  </si>
  <si>
    <t>Revue de mon MLD avec M. Rotten (mld1.0), la version corrigée est nomée mld1.1.       Suppression d'une table redondante; Je voulais utiliser un nom (unique) comme id d'un vol, l'id sera un int et un champ flightName a été ajouté; Ajout d'un champ airportAcronym proposé par M.Rotten parce que les aéroports ont souvent des acronymes. Je ne suis pas certain que ce champ me sera utile.</t>
  </si>
  <si>
    <t>Les acrnomyes des aéroport seront utilisés dans les noms de vols, je garde donc le champ.</t>
  </si>
  <si>
    <t>J'ai envoyé un mail à Mme Andolfatto pour savoir si les semaines de vacances seraient planifiées ou si lorsqu'un pilote ne travaillait pas il était considéré en vacances ? Mme Andolfatto a répondu qu'il faudrait que les vacances soient planifiables --&gt; Ajout d'une table vacances.                                                                                        Normalement toutes les informations nécessaires sont retrouvables dans la base de données ou calculables grâce à celle-ci</t>
  </si>
  <si>
    <t>Risques techniques : il n'y pas forcément de risque technique je parle donc de la difficulté principale du projet</t>
  </si>
  <si>
    <t>Avancement de mon projet avec Mme Andolfatto</t>
  </si>
  <si>
    <t>Planification en cours à faire, modification de l'interface graphique concernant la gestion des vacances</t>
  </si>
  <si>
    <t>Tests,Modification Scenarri pour convenir a la nouvelle interface graphique</t>
  </si>
  <si>
    <t>Revue du MLD avec Mme. Andolfatto</t>
  </si>
  <si>
    <t>Taille des varchars à modifier</t>
  </si>
  <si>
    <t>Diagrame de classe sur visual studio</t>
  </si>
  <si>
    <t>MLD ajout de deux champs supplémentaires</t>
  </si>
  <si>
    <t>En réalisant le diagramme de classe je me suis rendu compte qu'il manquait un champ "CurrentLocation" dans la table pilote afin de savoir ou le pilote se trouve. J'ai rajouté un champ AirportCountry pour faciliter la localisation des aéroports lorsqu'on crée une ligne, afin de rentrer une distance correcte séparant les 2 aéroports</t>
  </si>
  <si>
    <t>Manque les associsations</t>
  </si>
  <si>
    <t>Création de la base de données avec 10 aéroports</t>
  </si>
  <si>
    <t>Diagramme de classe - associations, recherche internet</t>
  </si>
  <si>
    <t>Je n'arrive pas a trouver comment changer les cardinalités, Mme Andolfatto et moi-même avons cherché sur internet mais nous n'avons pas trouvé de solution. Il se peut que je doive faire le diagramme sur astah pour qu'il soit complet</t>
  </si>
  <si>
    <t>Interface graphique du formulaire gestion</t>
  </si>
  <si>
    <t>Le formulaire n'est plus un formulaire (j'ai du supprimé une ligne dans le designer qu'il ne fallait pas supprimer). J'ai recréé le formulaire à partir de 0</t>
  </si>
  <si>
    <t>Ajout d'un pilote</t>
  </si>
  <si>
    <t>Il reste à faire les tests unitaires et les exceptions</t>
  </si>
  <si>
    <t>Génération du diagramme de classe grâce à Astah</t>
  </si>
  <si>
    <t>J'ai suivi une procédure que Mme. Andolfatto m'a envoyé par email pour générer automatiquement le diagramme de classe sur Astah en ayant précédement extrait un fichier xml (grâce a doxygen) de mes classes visual studio</t>
  </si>
  <si>
    <t>https://msdn.microsoft.com/fr-fr/library/system.text.regularexpressions.regex(v=vs.110).aspx</t>
  </si>
  <si>
    <t>Ajout d'un pilote, tests unitaires</t>
  </si>
  <si>
    <t>Ajout d'une ligne, test unitaires</t>
  </si>
  <si>
    <t>Ajout d'un vol</t>
  </si>
  <si>
    <t>commencement</t>
  </si>
  <si>
    <t>https://stackoverflow.com/questions/14789773/inner-joins-with-2-foreign-keys-to-one-primary-key?utm_medium=organic&amp;utm_source=google_rich_qa&amp;utm_campaign=google_rich_qa</t>
  </si>
  <si>
    <t>Il reste à calculer le temps de vol afin de calculer la date et l'heure d'arrivée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</si>
</sst>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u/>
      <sz val="11"/>
      <color theme="10"/>
      <name val="Calibri"/>
      <family val="2"/>
      <scheme val="minor"/>
    </font>
    <font>
      <sz val="11"/>
      <name val="Calibri"/>
      <family val="2"/>
      <scheme val="minor"/>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2">
    <xf numFmtId="0" fontId="0" fillId="0" borderId="0"/>
    <xf numFmtId="0" fontId="6" fillId="0" borderId="0" applyNumberFormat="0" applyFill="0" applyBorder="0" applyAlignment="0" applyProtection="0"/>
  </cellStyleXfs>
  <cellXfs count="27">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0" fontId="4" fillId="0" borderId="0" xfId="0" applyFont="1"/>
    <xf numFmtId="0" fontId="4" fillId="0" borderId="0" xfId="0" applyFont="1" applyAlignment="1"/>
    <xf numFmtId="0" fontId="4" fillId="0" borderId="0" xfId="0" applyFont="1" applyAlignment="1">
      <alignment horizontal="left"/>
    </xf>
    <xf numFmtId="0" fontId="6" fillId="0" borderId="1" xfId="1" applyBorder="1" applyAlignment="1" applyProtection="1">
      <alignment horizontal="left" vertical="center" wrapText="1"/>
      <protection locked="0"/>
    </xf>
    <xf numFmtId="0" fontId="3" fillId="0" borderId="0" xfId="0" applyFont="1" applyAlignment="1">
      <alignment horizontal="center"/>
    </xf>
    <xf numFmtId="0" fontId="7" fillId="0" borderId="1" xfId="1" applyFont="1" applyBorder="1" applyAlignment="1" applyProtection="1">
      <alignment horizontal="left" vertical="center" wrapText="1"/>
      <protection locked="0"/>
    </xf>
  </cellXfs>
  <cellStyles count="2">
    <cellStyle name="Lien hypertexte"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276225</xdr:colOff>
          <xdr:row>4</xdr:row>
          <xdr:rowOff>161925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7</xdr:row>
          <xdr:rowOff>28575</xdr:rowOff>
        </xdr:from>
        <xdr:to>
          <xdr:col>0</xdr:col>
          <xdr:colOff>990600</xdr:colOff>
          <xdr:row>8</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87.592159490741" createdVersion="4" refreshedVersion="4" minRefreshableVersion="3" recordCount="1">
  <cacheSource type="worksheet">
    <worksheetSource ref="A6:D8" sheet="Journal" r:id="rId2"/>
  </cacheSource>
  <cacheFields count="4">
    <cacheField name="Jour" numFmtId="16">
      <sharedItems containsSemiMixedTypes="0" containsNonDate="0" containsDate="1" containsString="0" minDate="2018-01-01T00:00:00" maxDate="2018-04-05T00:00:00" count="4">
        <d v="2018-01-01T00:00:00"/>
        <d v="2018-02-02T00:00:00" u="1"/>
        <d v="2018-03-03T00:00:00" u="1"/>
        <d v="2018-04-04T00:00:00" u="1"/>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1" maxValue="1"/>
    </cacheField>
    <cacheField name="Type" numFmtId="0">
      <sharedItems count="4">
        <s v="Analyse"/>
        <s v="Documentation" u="1"/>
        <s v="Tests" u="1"/>
        <s v="Implémentation"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n v="1"/>
    <n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5">
        <item x="0"/>
        <item m="1" x="1"/>
        <item m="1" x="2"/>
        <item m="1" x="3"/>
        <item t="default"/>
      </items>
    </pivotField>
    <pivotField showAll="0"/>
    <pivotField dataField="1" showAll="0"/>
    <pivotField axis="axisCol" showAll="0">
      <items count="5">
        <item m="1" x="1"/>
        <item m="1" x="3"/>
        <item x="0"/>
        <item m="1" x="2"/>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stackoverflow.com/questions/14789773/inner-joins-with-2-foreign-keys-to-one-primary-key?utm_medium=organic&amp;utm_source=google_rich_qa&amp;utm_campaign=google_rich_qa" TargetMode="External"/><Relationship Id="rId1" Type="http://schemas.openxmlformats.org/officeDocument/2006/relationships/hyperlink" Target="https://msdn.microsoft.com/fr-fr/library/system.text.regularexpressions.regex(v=vs.110).aspx"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pageSetUpPr fitToPage="1"/>
  </sheetPr>
  <dimension ref="A1:I37"/>
  <sheetViews>
    <sheetView tabSelected="1" topLeftCell="A24" zoomScaleNormal="100" zoomScaleSheetLayoutView="115" workbookViewId="0">
      <selection activeCell="F37" sqref="F37"/>
    </sheetView>
  </sheetViews>
  <sheetFormatPr baseColWidth="10" defaultColWidth="9.140625" defaultRowHeight="15" x14ac:dyDescent="0.25"/>
  <cols>
    <col min="1" max="1" width="13.42578125" style="8" customWidth="1"/>
    <col min="2" max="2" width="12.42578125" style="20" customWidth="1"/>
    <col min="3" max="3" width="16.7109375" style="16" customWidth="1"/>
    <col min="4" max="4" width="17.140625" style="8" customWidth="1"/>
    <col min="5" max="5" width="84.85546875" style="17" bestFit="1" customWidth="1"/>
    <col min="6" max="6" width="75.140625" style="17" customWidth="1"/>
    <col min="7" max="16384" width="9.140625" style="11"/>
  </cols>
  <sheetData>
    <row r="1" spans="1:9" s="21" customFormat="1" ht="14.1" customHeight="1" x14ac:dyDescent="0.2">
      <c r="A1" s="25" t="s">
        <v>16</v>
      </c>
      <c r="B1" s="25"/>
      <c r="C1" s="25"/>
      <c r="D1" s="25"/>
      <c r="E1" s="25"/>
      <c r="F1" s="25"/>
    </row>
    <row r="2" spans="1:9" s="21" customFormat="1" ht="14.25" x14ac:dyDescent="0.2">
      <c r="A2" s="25"/>
      <c r="B2" s="25"/>
      <c r="C2" s="25"/>
      <c r="D2" s="25"/>
      <c r="E2" s="25"/>
      <c r="F2" s="25"/>
    </row>
    <row r="3" spans="1:9" s="21" customFormat="1" ht="24.95" customHeight="1" x14ac:dyDescent="0.2">
      <c r="D3" s="22"/>
      <c r="E3" s="22" t="s">
        <v>14</v>
      </c>
      <c r="F3" s="23" t="s">
        <v>15</v>
      </c>
    </row>
    <row r="6" spans="1:9" ht="24" customHeight="1" x14ac:dyDescent="0.25">
      <c r="A6" s="6" t="s">
        <v>1</v>
      </c>
      <c r="B6" s="18" t="s">
        <v>11</v>
      </c>
      <c r="C6" s="9" t="s">
        <v>2</v>
      </c>
      <c r="D6" s="6" t="s">
        <v>3</v>
      </c>
      <c r="E6" s="10" t="s">
        <v>0</v>
      </c>
      <c r="F6" s="10" t="s">
        <v>13</v>
      </c>
    </row>
    <row r="7" spans="1:9" ht="60" x14ac:dyDescent="0.25">
      <c r="A7" s="7">
        <v>43228</v>
      </c>
      <c r="B7" s="19">
        <f t="shared" ref="B7" si="0">WEEKNUM(A7)</f>
        <v>19</v>
      </c>
      <c r="C7" s="12">
        <v>0.83333000000000002</v>
      </c>
      <c r="D7" s="13" t="s">
        <v>17</v>
      </c>
      <c r="E7" s="14" t="s">
        <v>18</v>
      </c>
      <c r="F7" s="14" t="s">
        <v>19</v>
      </c>
      <c r="I7" s="15"/>
    </row>
    <row r="8" spans="1:9" x14ac:dyDescent="0.25">
      <c r="A8" s="7">
        <v>43228</v>
      </c>
      <c r="B8" s="19">
        <f t="shared" ref="B8" si="1">WEEKNUM(A8)</f>
        <v>19</v>
      </c>
      <c r="C8" s="12">
        <v>2</v>
      </c>
      <c r="D8" s="13" t="s">
        <v>5</v>
      </c>
      <c r="E8" s="14" t="s">
        <v>20</v>
      </c>
      <c r="F8" s="14"/>
      <c r="I8" s="15"/>
    </row>
    <row r="9" spans="1:9" ht="30" x14ac:dyDescent="0.25">
      <c r="A9" s="7">
        <v>43228</v>
      </c>
      <c r="B9" s="19">
        <f t="shared" ref="B9" si="2">WEEKNUM(A9)</f>
        <v>19</v>
      </c>
      <c r="C9" s="12">
        <v>0.16666600000000001</v>
      </c>
      <c r="D9" s="13" t="s">
        <v>5</v>
      </c>
      <c r="E9" s="14" t="s">
        <v>21</v>
      </c>
      <c r="F9" s="14" t="s">
        <v>22</v>
      </c>
    </row>
    <row r="10" spans="1:9" x14ac:dyDescent="0.25">
      <c r="A10" s="7">
        <v>43228</v>
      </c>
      <c r="B10" s="19">
        <f t="shared" ref="B10" si="3">WEEKNUM(A10)</f>
        <v>19</v>
      </c>
      <c r="C10" s="12">
        <v>3</v>
      </c>
      <c r="D10" s="13" t="s">
        <v>5</v>
      </c>
      <c r="E10" s="14" t="s">
        <v>23</v>
      </c>
      <c r="F10" s="14"/>
    </row>
    <row r="11" spans="1:9" x14ac:dyDescent="0.25">
      <c r="A11" s="7">
        <v>43228</v>
      </c>
      <c r="B11" s="19">
        <f t="shared" ref="B11" si="4">WEEKNUM(A11)</f>
        <v>19</v>
      </c>
      <c r="C11" s="12">
        <v>0.33300000000000002</v>
      </c>
      <c r="D11" s="13" t="s">
        <v>5</v>
      </c>
      <c r="E11" s="14" t="s">
        <v>24</v>
      </c>
      <c r="F11" s="14"/>
    </row>
    <row r="12" spans="1:9" x14ac:dyDescent="0.25">
      <c r="A12" s="7">
        <v>43228</v>
      </c>
      <c r="B12" s="19">
        <f t="shared" ref="B12" si="5">WEEKNUM(A12)</f>
        <v>19</v>
      </c>
      <c r="C12" s="12">
        <v>0.42</v>
      </c>
      <c r="D12" s="13" t="s">
        <v>8</v>
      </c>
      <c r="E12" s="14" t="s">
        <v>25</v>
      </c>
      <c r="F12" s="14" t="s">
        <v>26</v>
      </c>
    </row>
    <row r="13" spans="1:9" x14ac:dyDescent="0.25">
      <c r="A13" s="7">
        <v>43229</v>
      </c>
      <c r="B13" s="19">
        <f t="shared" ref="B13" si="6">WEEKNUM(A13)</f>
        <v>19</v>
      </c>
      <c r="C13" s="12">
        <v>1.6666000000000001</v>
      </c>
      <c r="D13" s="13" t="s">
        <v>5</v>
      </c>
      <c r="E13" s="14" t="s">
        <v>27</v>
      </c>
      <c r="F13" s="14"/>
    </row>
    <row r="14" spans="1:9" x14ac:dyDescent="0.25">
      <c r="A14" s="7">
        <v>43229</v>
      </c>
      <c r="B14" s="19">
        <f t="shared" ref="B14" si="7">WEEKNUM(A14)</f>
        <v>19</v>
      </c>
      <c r="C14" s="12">
        <v>0.58333000000000002</v>
      </c>
      <c r="D14" s="13" t="s">
        <v>8</v>
      </c>
      <c r="E14" s="14" t="s">
        <v>28</v>
      </c>
      <c r="F14" s="14"/>
    </row>
    <row r="15" spans="1:9" x14ac:dyDescent="0.25">
      <c r="A15" s="7">
        <v>43229</v>
      </c>
      <c r="B15" s="19">
        <f t="shared" ref="B15" si="8">WEEKNUM(A15)</f>
        <v>19</v>
      </c>
      <c r="C15" s="12">
        <v>0.08</v>
      </c>
      <c r="D15" s="13" t="s">
        <v>5</v>
      </c>
      <c r="E15" s="14" t="s">
        <v>29</v>
      </c>
      <c r="F15" s="14" t="s">
        <v>30</v>
      </c>
    </row>
    <row r="16" spans="1:9" x14ac:dyDescent="0.25">
      <c r="A16" s="7">
        <v>43229</v>
      </c>
      <c r="B16" s="19">
        <f t="shared" ref="B16" si="9">WEEKNUM(A16)</f>
        <v>19</v>
      </c>
      <c r="C16" s="12">
        <v>1.4166000000000001</v>
      </c>
      <c r="D16" s="13" t="s">
        <v>5</v>
      </c>
      <c r="E16" s="14" t="s">
        <v>31</v>
      </c>
      <c r="F16" s="14"/>
    </row>
    <row r="17" spans="1:6" ht="75" x14ac:dyDescent="0.25">
      <c r="A17" s="7">
        <v>43229</v>
      </c>
      <c r="B17" s="19">
        <f t="shared" ref="B17" si="10">WEEKNUM(A17)</f>
        <v>19</v>
      </c>
      <c r="C17" s="12">
        <v>2.25</v>
      </c>
      <c r="D17" s="13" t="s">
        <v>5</v>
      </c>
      <c r="E17" s="14" t="s">
        <v>31</v>
      </c>
      <c r="F17" s="14" t="s">
        <v>37</v>
      </c>
    </row>
    <row r="18" spans="1:6" ht="30" x14ac:dyDescent="0.25">
      <c r="A18" s="7">
        <v>43234</v>
      </c>
      <c r="B18" s="19">
        <f t="shared" ref="B18" si="11">WEEKNUM(A18)</f>
        <v>20</v>
      </c>
      <c r="C18" s="12">
        <v>0.5</v>
      </c>
      <c r="D18" s="13" t="s">
        <v>5</v>
      </c>
      <c r="E18" s="14" t="s">
        <v>33</v>
      </c>
      <c r="F18" s="14" t="s">
        <v>38</v>
      </c>
    </row>
    <row r="19" spans="1:6" x14ac:dyDescent="0.25">
      <c r="A19" s="7">
        <v>43234</v>
      </c>
      <c r="B19" s="19">
        <f t="shared" ref="B19:B20" si="12">WEEKNUM(A19)</f>
        <v>20</v>
      </c>
      <c r="C19" s="12">
        <v>1</v>
      </c>
      <c r="D19" s="13" t="s">
        <v>8</v>
      </c>
      <c r="E19" s="14" t="s">
        <v>32</v>
      </c>
      <c r="F19" s="14"/>
    </row>
    <row r="20" spans="1:6" ht="90" x14ac:dyDescent="0.25">
      <c r="A20" s="7">
        <v>43234</v>
      </c>
      <c r="B20" s="19">
        <f t="shared" si="12"/>
        <v>20</v>
      </c>
      <c r="C20" s="12">
        <v>1</v>
      </c>
      <c r="D20" s="13" t="s">
        <v>5</v>
      </c>
      <c r="E20" s="14" t="s">
        <v>33</v>
      </c>
      <c r="F20" s="14" t="s">
        <v>39</v>
      </c>
    </row>
    <row r="21" spans="1:6" x14ac:dyDescent="0.25">
      <c r="A21" s="7">
        <v>43234</v>
      </c>
      <c r="B21" s="19">
        <f t="shared" ref="B21" si="13">WEEKNUM(A21)</f>
        <v>20</v>
      </c>
      <c r="C21" s="12">
        <v>1</v>
      </c>
      <c r="D21" s="13" t="s">
        <v>8</v>
      </c>
      <c r="E21" s="14" t="s">
        <v>34</v>
      </c>
      <c r="F21" s="14" t="s">
        <v>35</v>
      </c>
    </row>
    <row r="22" spans="1:6" ht="30" x14ac:dyDescent="0.25">
      <c r="A22" s="7">
        <v>43234</v>
      </c>
      <c r="B22" s="19">
        <f t="shared" ref="B22" si="14">WEEKNUM(A22)</f>
        <v>20</v>
      </c>
      <c r="C22" s="12">
        <v>1</v>
      </c>
      <c r="D22" s="13" t="s">
        <v>8</v>
      </c>
      <c r="E22" s="14" t="s">
        <v>36</v>
      </c>
      <c r="F22" s="14" t="s">
        <v>40</v>
      </c>
    </row>
    <row r="23" spans="1:6" ht="30" x14ac:dyDescent="0.25">
      <c r="A23" s="7">
        <v>43235</v>
      </c>
      <c r="B23" s="19">
        <f t="shared" ref="B23" si="15">WEEKNUM(A23)</f>
        <v>20</v>
      </c>
      <c r="C23" s="12">
        <v>0.1666667</v>
      </c>
      <c r="D23" s="13" t="s">
        <v>17</v>
      </c>
      <c r="E23" s="14" t="s">
        <v>41</v>
      </c>
      <c r="F23" s="14" t="s">
        <v>42</v>
      </c>
    </row>
    <row r="24" spans="1:6" x14ac:dyDescent="0.25">
      <c r="A24" s="7">
        <v>43235</v>
      </c>
      <c r="B24" s="19">
        <f t="shared" ref="B24" si="16">WEEKNUM(A24)</f>
        <v>20</v>
      </c>
      <c r="C24" s="12">
        <v>0.33</v>
      </c>
      <c r="D24" s="13" t="s">
        <v>8</v>
      </c>
      <c r="E24" s="14" t="s">
        <v>43</v>
      </c>
      <c r="F24" s="14"/>
    </row>
    <row r="25" spans="1:6" x14ac:dyDescent="0.25">
      <c r="A25" s="7">
        <v>43235</v>
      </c>
      <c r="B25" s="19">
        <f t="shared" ref="B25" si="17">WEEKNUM(A25)</f>
        <v>20</v>
      </c>
      <c r="C25" s="12">
        <v>8.3333299999999999E-2</v>
      </c>
      <c r="D25" s="13" t="s">
        <v>17</v>
      </c>
      <c r="E25" s="14" t="s">
        <v>44</v>
      </c>
      <c r="F25" s="14" t="s">
        <v>45</v>
      </c>
    </row>
    <row r="26" spans="1:6" x14ac:dyDescent="0.25">
      <c r="A26" s="7">
        <v>43235</v>
      </c>
      <c r="B26" s="19">
        <f t="shared" ref="B26" si="18">WEEKNUM(A26)</f>
        <v>20</v>
      </c>
      <c r="C26" s="12">
        <v>3</v>
      </c>
      <c r="D26" s="13" t="s">
        <v>8</v>
      </c>
      <c r="E26" s="14" t="s">
        <v>46</v>
      </c>
      <c r="F26" s="14" t="s">
        <v>49</v>
      </c>
    </row>
    <row r="27" spans="1:6" ht="75" x14ac:dyDescent="0.25">
      <c r="A27" s="7">
        <v>43235</v>
      </c>
      <c r="B27" s="19">
        <f t="shared" ref="B27" si="19">WEEKNUM(A27)</f>
        <v>20</v>
      </c>
      <c r="C27" s="12">
        <v>0.17</v>
      </c>
      <c r="D27" s="13" t="s">
        <v>8</v>
      </c>
      <c r="E27" s="14" t="s">
        <v>47</v>
      </c>
      <c r="F27" s="14" t="s">
        <v>48</v>
      </c>
    </row>
    <row r="28" spans="1:6" x14ac:dyDescent="0.25">
      <c r="A28" s="7">
        <v>43235</v>
      </c>
      <c r="B28" s="19">
        <f t="shared" ref="B28" si="20">WEEKNUM(A28)</f>
        <v>20</v>
      </c>
      <c r="C28" s="12">
        <v>0.25</v>
      </c>
      <c r="D28" s="13" t="s">
        <v>6</v>
      </c>
      <c r="E28" s="14" t="s">
        <v>50</v>
      </c>
      <c r="F28" s="14"/>
    </row>
    <row r="29" spans="1:6" ht="45" x14ac:dyDescent="0.25">
      <c r="A29" s="7">
        <v>43235</v>
      </c>
      <c r="B29" s="19">
        <f t="shared" ref="B29" si="21">WEEKNUM(A29)</f>
        <v>20</v>
      </c>
      <c r="C29" s="12">
        <v>1</v>
      </c>
      <c r="D29" s="13" t="s">
        <v>8</v>
      </c>
      <c r="E29" s="14" t="s">
        <v>51</v>
      </c>
      <c r="F29" s="14" t="s">
        <v>52</v>
      </c>
    </row>
    <row r="30" spans="1:6" ht="30" x14ac:dyDescent="0.25">
      <c r="A30" s="7">
        <v>43235</v>
      </c>
      <c r="B30" s="19">
        <f t="shared" ref="B30" si="22">WEEKNUM(A30)</f>
        <v>20</v>
      </c>
      <c r="C30" s="12">
        <v>0.25</v>
      </c>
      <c r="D30" s="13" t="s">
        <v>8</v>
      </c>
      <c r="E30" s="14" t="s">
        <v>53</v>
      </c>
      <c r="F30" s="14" t="s">
        <v>54</v>
      </c>
    </row>
    <row r="31" spans="1:6" x14ac:dyDescent="0.25">
      <c r="A31" s="7">
        <v>43235</v>
      </c>
      <c r="B31" s="19">
        <f t="shared" ref="B31" si="23">WEEKNUM(A31)</f>
        <v>20</v>
      </c>
      <c r="C31" s="12">
        <v>1.5</v>
      </c>
      <c r="D31" s="13" t="s">
        <v>6</v>
      </c>
      <c r="E31" s="14" t="s">
        <v>55</v>
      </c>
      <c r="F31" s="14" t="s">
        <v>56</v>
      </c>
    </row>
    <row r="32" spans="1:6" ht="45" x14ac:dyDescent="0.25">
      <c r="A32" s="7">
        <v>43236</v>
      </c>
      <c r="B32" s="19">
        <f t="shared" ref="B32" si="24">WEEKNUM(A32)</f>
        <v>20</v>
      </c>
      <c r="C32" s="12">
        <v>0.5</v>
      </c>
      <c r="D32" s="13" t="s">
        <v>8</v>
      </c>
      <c r="E32" s="14" t="s">
        <v>57</v>
      </c>
      <c r="F32" s="14" t="s">
        <v>58</v>
      </c>
    </row>
    <row r="33" spans="1:6" x14ac:dyDescent="0.25">
      <c r="A33" s="7">
        <v>43236</v>
      </c>
      <c r="B33" s="19">
        <f t="shared" ref="B33" si="25">WEEKNUM(A33)</f>
        <v>20</v>
      </c>
      <c r="C33" s="12">
        <v>0.5</v>
      </c>
      <c r="D33" s="13" t="s">
        <v>8</v>
      </c>
      <c r="E33" s="14" t="s">
        <v>57</v>
      </c>
      <c r="F33" s="24"/>
    </row>
    <row r="34" spans="1:6" ht="30" x14ac:dyDescent="0.25">
      <c r="A34" s="7">
        <v>43236</v>
      </c>
      <c r="B34" s="19">
        <f t="shared" ref="B34" si="26">WEEKNUM(A34)</f>
        <v>20</v>
      </c>
      <c r="C34" s="12">
        <v>2.41</v>
      </c>
      <c r="D34" s="13" t="s">
        <v>6</v>
      </c>
      <c r="E34" s="14" t="s">
        <v>60</v>
      </c>
      <c r="F34" s="24" t="s">
        <v>59</v>
      </c>
    </row>
    <row r="35" spans="1:6" ht="60" x14ac:dyDescent="0.25">
      <c r="A35" s="7">
        <v>43236</v>
      </c>
      <c r="B35" s="19">
        <f t="shared" ref="B35" si="27">WEEKNUM(A35)</f>
        <v>20</v>
      </c>
      <c r="C35" s="12">
        <v>1.5</v>
      </c>
      <c r="D35" s="13" t="s">
        <v>6</v>
      </c>
      <c r="E35" s="14" t="s">
        <v>61</v>
      </c>
      <c r="F35" s="24" t="s">
        <v>64</v>
      </c>
    </row>
    <row r="36" spans="1:6" x14ac:dyDescent="0.25">
      <c r="A36" s="7">
        <v>43236</v>
      </c>
      <c r="B36" s="19">
        <f t="shared" ref="B36" si="28">WEEKNUM(A36)</f>
        <v>20</v>
      </c>
      <c r="C36" s="12">
        <v>2.5</v>
      </c>
      <c r="D36" s="13" t="s">
        <v>6</v>
      </c>
      <c r="E36" s="14" t="s">
        <v>62</v>
      </c>
      <c r="F36" s="26" t="s">
        <v>63</v>
      </c>
    </row>
    <row r="37" spans="1:6" x14ac:dyDescent="0.25">
      <c r="A37" s="7">
        <v>43237</v>
      </c>
      <c r="B37" s="19">
        <f t="shared" ref="B37" si="29">WEEKNUM(A37)</f>
        <v>20</v>
      </c>
      <c r="C37" s="12">
        <v>2.25</v>
      </c>
      <c r="D37" s="13" t="s">
        <v>6</v>
      </c>
      <c r="E37" s="14" t="s">
        <v>62</v>
      </c>
      <c r="F37" s="26" t="s">
        <v>65</v>
      </c>
    </row>
  </sheetData>
  <sheetProtection selectLockedCells="1"/>
  <mergeCells count="1">
    <mergeCell ref="A1:F2"/>
  </mergeCells>
  <hyperlinks>
    <hyperlink ref="F34" r:id="rId1"/>
    <hyperlink ref="F35" r:id="rId2"/>
  </hyperlinks>
  <pageMargins left="0.7" right="0.7" top="0.75" bottom="0.75" header="0.3" footer="0.3"/>
  <pageSetup paperSize="8" scale="60"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6" r:id="rId6" name="Button 2">
              <controlPr defaultSize="0" autoFill="0" autoPict="0" macro="[0]!_xludf.Duplicate">
                <anchor moveWithCells="1" sizeWithCells="1">
                  <from>
                    <xdr:col>0</xdr:col>
                    <xdr:colOff>0</xdr:colOff>
                    <xdr:row>3</xdr:row>
                    <xdr:rowOff>38100</xdr:rowOff>
                  </from>
                  <to>
                    <xdr:col>2</xdr:col>
                    <xdr:colOff>276225</xdr:colOff>
                    <xdr:row>4</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Paramètres!$A$2:$A$7</xm:f>
          </x14:formula1>
          <xm:sqref>D7:D37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B6" sqref="B6"/>
    </sheetView>
  </sheetViews>
  <sheetFormatPr baseColWidth="10" defaultRowHeight="15" x14ac:dyDescent="0.25"/>
  <cols>
    <col min="1" max="1" width="17.140625" customWidth="1"/>
    <col min="2" max="2" width="10.85546875" customWidth="1"/>
    <col min="3" max="3" width="11.1406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12</v>
      </c>
    </row>
    <row r="4" spans="1:3" x14ac:dyDescent="0.25">
      <c r="B4" t="s">
        <v>5</v>
      </c>
      <c r="C4" t="s">
        <v>10</v>
      </c>
    </row>
    <row r="5" spans="1:3" x14ac:dyDescent="0.25">
      <c r="A5" s="5">
        <v>43101</v>
      </c>
      <c r="B5" s="3">
        <v>1</v>
      </c>
      <c r="C5" s="3">
        <v>1</v>
      </c>
    </row>
    <row r="6" spans="1:3" x14ac:dyDescent="0.25">
      <c r="A6" s="5" t="s">
        <v>10</v>
      </c>
      <c r="B6" s="3">
        <v>1</v>
      </c>
      <c r="C6" s="3">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7"/>
  <sheetViews>
    <sheetView workbookViewId="0">
      <selection activeCell="C13" sqref="C13"/>
    </sheetView>
  </sheetViews>
  <sheetFormatPr baseColWidth="10" defaultRowHeight="15" x14ac:dyDescent="0.25"/>
  <cols>
    <col min="1" max="1" width="16.5703125" customWidth="1"/>
  </cols>
  <sheetData>
    <row r="1" spans="1:1" x14ac:dyDescent="0.25">
      <c r="A1" s="2" t="s">
        <v>4</v>
      </c>
    </row>
    <row r="2" spans="1:1" x14ac:dyDescent="0.25">
      <c r="A2" s="1" t="s">
        <v>5</v>
      </c>
    </row>
    <row r="3" spans="1:1" x14ac:dyDescent="0.25">
      <c r="A3" t="s">
        <v>17</v>
      </c>
    </row>
    <row r="4" spans="1:1" x14ac:dyDescent="0.25">
      <c r="A4" s="1" t="s">
        <v>6</v>
      </c>
    </row>
    <row r="5" spans="1:1" x14ac:dyDescent="0.25">
      <c r="A5" s="1" t="s">
        <v>7</v>
      </c>
    </row>
    <row r="6" spans="1:1" x14ac:dyDescent="0.25">
      <c r="A6" s="1" t="s">
        <v>8</v>
      </c>
    </row>
    <row r="7" spans="1:1" x14ac:dyDescent="0.25">
      <c r="A7" s="1" t="s">
        <v>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nchor moveWithCells="1" sizeWithCells="1">
                  <from>
                    <xdr:col>0</xdr:col>
                    <xdr:colOff>9525</xdr:colOff>
                    <xdr:row>7</xdr:row>
                    <xdr:rowOff>28575</xdr:rowOff>
                  </from>
                  <to>
                    <xdr:col>0</xdr:col>
                    <xdr:colOff>990600</xdr:colOff>
                    <xdr:row>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Journal</vt:lpstr>
      <vt:lpstr>Totaux</vt:lpstr>
      <vt:lpstr>Paramètres</vt:lpstr>
      <vt:lpstr>base</vt:lpstr>
      <vt:lpstr>Journal!Zone_d_impression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2018-05-17T10:13:56Z</dcterms:modified>
</cp:coreProperties>
</file>