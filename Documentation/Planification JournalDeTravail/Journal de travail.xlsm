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Journal!$A$1:$F$45</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42" i="1" l="1"/>
  <c r="B41" i="1"/>
  <c r="B40" i="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<sst xmlns="http://schemas.openxmlformats.org/spreadsheetml/2006/main" count="116" uniqueCount="73">
  <si>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</si>
  <si>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</si>
  <si>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</si>
  <si>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</si>
  <si>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</si>
  <si>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</si>
  <si>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</si>
  <si>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</si>
  <si>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</si>
  <si>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</si>
  <si>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</si>
  <si>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</si>
  <si>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</si>
  <si>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</si>
  <si>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</si>
  <si>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</si>
  <si>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</si>
  <si>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</si>
  <si>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</si>
  <si>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</si>
  <si>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</si>
  <si>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</si>
  <si>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</si>
  <si>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</si>
  <si>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</si>
  <si>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</si>
  <si>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</si>
  <si>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</si>
  <si>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</si>
  <si>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</si>
  <si>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</si>
  <si>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</si>
  <si>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</si>
  <si>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</si>
  <si>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</si>
  <si>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</si>
  <si>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</si>
  <si>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</si>
  <si>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</si>
  <si>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</si>
  <si>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</si>
  <si>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</si>
  <si>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</si>
  <si>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</si>
  <si>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</si>
  <si>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</si>
  <si>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</si>
  <si>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</si>
  <si>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</si>
  <si>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</si>
  <si>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</si>
  <si>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</si>
  <si>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</si>
  <si>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</si>
  <si>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</si>
  <si>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</si>
  <si>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</si>
  <si>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</si>
  <si>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</si>
  <si>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</si>
  <si>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</si>
  <si>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</si>
  <si>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</si>
  <si>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</si>
  <si>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</si>
  <si>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</si>
  <si>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</si>
  <si>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</si>
  <si>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</si>
  <si>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</si>
  <si>
    <t>Entretient avec M. Tieche</t>
  </si>
  <si>
    <t>Si deux pilotes ont les mêmes noms et prénoms il faut être capable de les différencier. Si l'utilisateur se trompe lors d'une insertion, les données doivent pouvoir etre modifiée. Ajouter un champ type d'aéroport afin d'éviter la redondance (ex: aéroport internaitonal). Expliquer les conventions des liaisons reliant les différentes tables/entités dans le mld/mcd. Expliquer clairement les conventions de nommage, choix de la grandeur des champs ets pour le mld. Ajouter un temps total pour le journal de travail (supprimer les onglets non utilisés pour le rendu final). Rendre une version papier pour M. Tieche.</t>
  </si>
  <si>
    <t>Journal de travail, journal de bord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</si>
</sst>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2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0" fontId="3" fillId="0" borderId="0" xfId="0" applyFont="1" applyAlignment="1">
      <alignment horizont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42"/>
  <sheetViews>
    <sheetView tabSelected="1" topLeftCell="A37" zoomScaleNormal="100" zoomScaleSheetLayoutView="115" workbookViewId="0">
      <selection activeCell="F42" sqref="F42"/>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16384" width="9.140625" style="11"/>
  </cols>
  <sheetData>
    <row r="1" spans="1:9" s="21" customFormat="1" ht="14.1" customHeight="1" x14ac:dyDescent="0.2">
      <c r="A1" s="27" t="s">
        <v>16</v>
      </c>
      <c r="B1" s="27"/>
      <c r="C1" s="27"/>
      <c r="D1" s="27"/>
      <c r="E1" s="27"/>
      <c r="F1" s="27"/>
    </row>
    <row r="2" spans="1:9" s="21" customFormat="1" ht="14.25" x14ac:dyDescent="0.2">
      <c r="A2" s="27"/>
      <c r="B2" s="27"/>
      <c r="C2" s="27"/>
      <c r="D2" s="27"/>
      <c r="E2" s="27"/>
      <c r="F2" s="27"/>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6" x14ac:dyDescent="0.25">
      <c r="A33" s="7">
        <v>43236</v>
      </c>
      <c r="B33" s="19">
        <f t="shared" ref="B33" si="25">WEEKNUM(A33)</f>
        <v>20</v>
      </c>
      <c r="C33" s="12">
        <v>0.5</v>
      </c>
      <c r="D33" s="13" t="s">
        <v>8</v>
      </c>
      <c r="E33" s="14" t="s">
        <v>57</v>
      </c>
      <c r="F33" s="24"/>
    </row>
    <row r="34" spans="1:6" ht="30" x14ac:dyDescent="0.25">
      <c r="A34" s="7">
        <v>43236</v>
      </c>
      <c r="B34" s="19">
        <f t="shared" ref="B34" si="26">WEEKNUM(A34)</f>
        <v>20</v>
      </c>
      <c r="C34" s="12">
        <v>2.41</v>
      </c>
      <c r="D34" s="13" t="s">
        <v>6</v>
      </c>
      <c r="E34" s="14" t="s">
        <v>60</v>
      </c>
      <c r="F34" s="24" t="s">
        <v>59</v>
      </c>
    </row>
    <row r="35" spans="1:6" ht="60" x14ac:dyDescent="0.25">
      <c r="A35" s="7">
        <v>43236</v>
      </c>
      <c r="B35" s="19">
        <f t="shared" ref="B35" si="27">WEEKNUM(A35)</f>
        <v>20</v>
      </c>
      <c r="C35" s="12">
        <v>1.5</v>
      </c>
      <c r="D35" s="13" t="s">
        <v>6</v>
      </c>
      <c r="E35" s="14" t="s">
        <v>61</v>
      </c>
      <c r="F35" s="24" t="s">
        <v>64</v>
      </c>
    </row>
    <row r="36" spans="1:6" x14ac:dyDescent="0.25">
      <c r="A36" s="7">
        <v>43236</v>
      </c>
      <c r="B36" s="19">
        <f t="shared" ref="B36" si="28">WEEKNUM(A36)</f>
        <v>20</v>
      </c>
      <c r="C36" s="12">
        <v>2.5</v>
      </c>
      <c r="D36" s="13" t="s">
        <v>6</v>
      </c>
      <c r="E36" s="14" t="s">
        <v>62</v>
      </c>
      <c r="F36" s="25" t="s">
        <v>63</v>
      </c>
    </row>
    <row r="37" spans="1:6" ht="30" x14ac:dyDescent="0.25">
      <c r="A37" s="7">
        <v>43237</v>
      </c>
      <c r="B37" s="19">
        <f t="shared" ref="B37" si="29">WEEKNUM(A37)</f>
        <v>20</v>
      </c>
      <c r="C37" s="12">
        <v>2.25</v>
      </c>
      <c r="D37" s="13" t="s">
        <v>6</v>
      </c>
      <c r="E37" s="14" t="s">
        <v>62</v>
      </c>
      <c r="F37" s="25" t="s">
        <v>65</v>
      </c>
    </row>
    <row r="38" spans="1:6" ht="105" x14ac:dyDescent="0.25">
      <c r="A38" s="7">
        <v>43237</v>
      </c>
      <c r="B38" s="19">
        <f t="shared" ref="B38" si="30">WEEKNUM(A38)</f>
        <v>20</v>
      </c>
      <c r="C38" s="12">
        <v>1.833</v>
      </c>
      <c r="D38" s="13" t="s">
        <v>6</v>
      </c>
      <c r="E38" s="14" t="s">
        <v>62</v>
      </c>
      <c r="F38" s="26" t="s">
        <v>66</v>
      </c>
    </row>
    <row r="39" spans="1:6" x14ac:dyDescent="0.25">
      <c r="A39" s="7">
        <v>43237</v>
      </c>
      <c r="B39" s="19">
        <f t="shared" ref="B39" si="31">WEEKNUM(A39)</f>
        <v>20</v>
      </c>
      <c r="C39" s="12">
        <v>0.08</v>
      </c>
      <c r="D39" s="13" t="s">
        <v>8</v>
      </c>
      <c r="E39" s="14" t="s">
        <v>67</v>
      </c>
      <c r="F39" s="14"/>
    </row>
    <row r="40" spans="1:6" ht="45" x14ac:dyDescent="0.25">
      <c r="A40" s="7">
        <v>43237</v>
      </c>
      <c r="B40" s="19">
        <f t="shared" ref="B40:B41" si="32">WEEKNUM(A40)</f>
        <v>20</v>
      </c>
      <c r="C40" s="12">
        <v>1.08</v>
      </c>
      <c r="D40" s="13" t="s">
        <v>6</v>
      </c>
      <c r="E40" s="14" t="s">
        <v>68</v>
      </c>
      <c r="F40" s="14" t="s">
        <v>69</v>
      </c>
    </row>
    <row r="41" spans="1:6" ht="120" x14ac:dyDescent="0.25">
      <c r="A41" s="7">
        <v>43242</v>
      </c>
      <c r="B41" s="19">
        <f t="shared" ref="B41" si="33">WEEKNUM(A41)</f>
        <v>21</v>
      </c>
      <c r="C41" s="12">
        <v>1.2</v>
      </c>
      <c r="D41" s="13" t="s">
        <v>17</v>
      </c>
      <c r="E41" s="14" t="s">
        <v>70</v>
      </c>
      <c r="F41" s="14" t="s">
        <v>71</v>
      </c>
    </row>
    <row r="42" spans="1:6" ht="53.25" customHeight="1" x14ac:dyDescent="0.25">
      <c r="A42" s="7">
        <v>43242</v>
      </c>
      <c r="B42" s="19">
        <f t="shared" ref="B42" si="34">WEEKNUM(A42)</f>
        <v>21</v>
      </c>
      <c r="C42" s="12">
        <v>0.2</v>
      </c>
      <c r="D42" s="13" t="s">
        <v>8</v>
      </c>
      <c r="E42" s="14" t="s">
        <v>72</v>
      </c>
      <c r="F42" s="14"/>
    </row>
  </sheetData>
  <sheetProtection selectLockedCells="1"/>
  <mergeCells count="1">
    <mergeCell ref="A1:F2"/>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s>
  <pageMargins left="0.7" right="0.7" top="0.75" bottom="0.75" header="0.3" footer="0.3"/>
  <pageSetup paperSize="8" scale="60"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6" r:id="rId6"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D7:D42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2018-05-22T07:25:53Z</dcterms:modified>
</cp:coreProperties>
</file>