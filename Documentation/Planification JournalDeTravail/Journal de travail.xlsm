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Journal!$A$1:$F$46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49" i="1" l="1"/>
  <c r="B48" i="1"/>
  <c r="B47" i="1"/>
  <c r="B46" i="1"/>
  <c r="B45" i="1"/>
  <c r="I39" i="1"/>
  <c r="B44" i="1"/>
  <c r="B43" i="1"/>
  <c r="B42" i="1"/>
  <c r="B41" i="1"/>
  <c r="B40" i="1"/>
  <c r="B39" i="1"/>
  <c r="B38" i="1"/>
  <c r="B37" i="1"/>
  <c r="B36" i="1"/>
  <c r="B35" i="1"/>
  <c r="B34" i="1"/>
  <c r="B33" i="1"/>
  <c r="B32" i="1"/>
  <c r="B31" i="1"/>
  <c r="B30" i="1"/>
  <c r="B29" i="1"/>
  <c r="B28" i="1"/>
  <c r="B27" i="1"/>
  <c r="B26" i="1"/>
  <c r="B25" i="1"/>
  <c r="B24" i="1"/>
  <c r="B23" i="1"/>
  <c r="B20" i="1"/>
  <c r="B22" i="1"/>
  <c r="B21" i="1"/>
  <c r="B19" i="1"/>
  <c r="B18" i="1"/>
  <c r="B17" i="1"/>
  <c r="B16" i="1"/>
  <c r="B15" i="1"/>
  <c r="B14" i="1"/>
  <c r="B13" i="1"/>
  <c r="B12" i="1"/>
  <c r="B11" i="1"/>
  <c r="B10" i="1"/>
  <c r="B9" i="1"/>
  <c r="B7" i="1"/>
  <c r="B8" i="1"/>
</calcChain>
</file>

<file path=xl/sharedStrings.xml><?xml version="1.0" encoding="utf-8"?>
<sst xmlns="http://schemas.openxmlformats.org/spreadsheetml/2006/main" count="135" uniqueCount="84">
  <si>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</si>
  <si>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</si>
  <si>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</si>
  <si>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</si>
  <si>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</si>
  <si>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</si>
  <si>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</si>
  <si>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</si>
  <si>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</si>
  <si>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</si>
  <si>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</si>
  <si>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</si>
  <si>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</si>
  <si>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</si>
  <si>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Réalisé par: Gianinetti Lucas</t>
  </si>
  <si>
    <t>Classe: Si-ca2a</t>
  </si>
  <si>
    <t>PROJET: Application de planification de vols aériens</t>
  </si>
  <si>
    <t>Séance experts</t>
  </si>
  <si>
    <t>Validation du cahier des charges</t>
  </si>
  <si>
    <t>Je vais créer mes propres données. Un dépacement du temps annoncé dans le journal de travail est acceptable si : -Les heures sont notées clairement dans le journal de travail -Le temps supplémentaire ne dépasse pas 10% du temps annoncé.</t>
  </si>
  <si>
    <t>Réalisation de la planification</t>
  </si>
  <si>
    <t>Revue de la planification avec ma chef de projet - Corrections</t>
  </si>
  <si>
    <t>Les pauses ne sont pas comptées donc le projet fini le mardi 5 juin à la place du 6 juin. Il manque les tests d'acceptation. Ses deux points ont été corrigés</t>
  </si>
  <si>
    <t>Realisation des maquettes</t>
  </si>
  <si>
    <t>Use case</t>
  </si>
  <si>
    <t>Introduction, objectifs, planification initiale</t>
  </si>
  <si>
    <t>Introduction pas terminée</t>
  </si>
  <si>
    <t>Scenarii</t>
  </si>
  <si>
    <t>Introduction, use case, scenarii</t>
  </si>
  <si>
    <t>Ajout d'un champ dans une maquette</t>
  </si>
  <si>
    <t>L'utilisateur peut rentrer la distance qui sépare deux lieux lorsqu'il crée une ligne.</t>
  </si>
  <si>
    <t>MCD/MLD</t>
  </si>
  <si>
    <t>Création de l'interface graphique sur Visual Studio</t>
  </si>
  <si>
    <t>Réflexion MCD/MLD</t>
  </si>
  <si>
    <t>Maj des maquettes/Interface graphiques/Scenarri/Use case</t>
  </si>
  <si>
    <t>Ajout des éléments concernant la gestion des vacances</t>
  </si>
  <si>
    <t>MCD/MLD + explication de certains champs du MLD, interfaces graphiques, risques techniques et stratégie de tests</t>
  </si>
  <si>
    <t>Revue de mon MLD avec M. Rotten (mld1.0), la version corrigée est nomée mld1.1.       Suppression d'une table redondante; Je voulais utiliser un nom (unique) comme id d'un vol, l'id sera un int et un champ flightName a été ajouté; Ajout d'un champ airportAcronym proposé par M.Rotten parce que les aéroports ont souvent des acronymes. Je ne suis pas certain que ce champ me sera utile.</t>
  </si>
  <si>
    <t>Les acrnomyes des aéroport seront utilisés dans les noms de vols, je garde donc le champ.</t>
  </si>
  <si>
    <t>J'ai envoyé un mail à Mme Andolfatto pour savoir si les semaines de vacances seraient planifiées ou si lorsqu'un pilote ne travaillait pas il était considéré en vacances ? Mme Andolfatto a répondu qu'il faudrait que les vacances soient planifiables --&gt; Ajout d'une table vacances.                                                                                        Normalement toutes les informations nécessaires sont retrouvables dans la base de données ou calculables grâce à celle-ci</t>
  </si>
  <si>
    <t>Risques techniques : il n'y pas forcément de risque technique je parle donc de la difficulté principale du projet</t>
  </si>
  <si>
    <t>Avancement de mon projet avec Mme Andolfatto</t>
  </si>
  <si>
    <t>Planification en cours à faire, modification de l'interface graphique concernant la gestion des vacances</t>
  </si>
  <si>
    <t>Tests,Modification Scenarri pour convenir a la nouvelle interface graphique</t>
  </si>
  <si>
    <t>Revue du MLD avec Mme. Andolfatto</t>
  </si>
  <si>
    <t>Taille des varchars à modifier</t>
  </si>
  <si>
    <t>Diagrame de classe sur visual studio</t>
  </si>
  <si>
    <t>MLD ajout de deux champs supplémentaires</t>
  </si>
  <si>
    <t>En réalisant le diagramme de classe je me suis rendu compte qu'il manquait un champ "CurrentLocation" dans la table pilote afin de savoir ou le pilote se trouve. J'ai rajouté un champ AirportCountry pour faciliter la localisation des aéroports lorsqu'on crée une ligne, afin de rentrer une distance correcte séparant les 2 aéroports</t>
  </si>
  <si>
    <t>Manque les associsations</t>
  </si>
  <si>
    <t>Création de la base de données avec 10 aéroports</t>
  </si>
  <si>
    <t>Diagramme de classe - associations, recherche internet</t>
  </si>
  <si>
    <t>Je n'arrive pas a trouver comment changer les cardinalités, Mme Andolfatto et moi-même avons cherché sur internet mais nous n'avons pas trouvé de solution. Il se peut que je doive faire le diagramme sur astah pour qu'il soit complet</t>
  </si>
  <si>
    <t>Interface graphique du formulaire gestion</t>
  </si>
  <si>
    <t>Le formulaire n'est plus un formulaire (j'ai du supprimé une ligne dans le designer qu'il ne fallait pas supprimer). J'ai recréé le formulaire à partir de 0</t>
  </si>
  <si>
    <t>Ajout d'un pilote</t>
  </si>
  <si>
    <t>Il reste à faire les tests unitaires et les exceptions</t>
  </si>
  <si>
    <t>Génération du diagramme de classe grâce à Astah</t>
  </si>
  <si>
    <t>J'ai suivi une procédure que Mme. Andolfatto m'a envoyé par email pour générer automatiquement le diagramme de classe sur Astah en ayant précédement extrait un fichier xml (grâce a doxygen) de mes classes visual studio</t>
  </si>
  <si>
    <t>https://msdn.microsoft.com/fr-fr/library/system.text.regularexpressions.regex(v=vs.110).aspx</t>
  </si>
  <si>
    <t>Ajout d'un pilote, tests unitaires</t>
  </si>
  <si>
    <t>Ajout d'une ligne, test unitaires</t>
  </si>
  <si>
    <t>Ajout d'un vol</t>
  </si>
  <si>
    <t>commencement</t>
  </si>
  <si>
    <t>https://stackoverflow.com/questions/14789773/inner-joins-with-2-foreign-keys-to-one-primary-key?utm_medium=organic&amp;utm_source=google_rich_qa&amp;utm_campaign=google_rich_qa</t>
  </si>
  <si>
    <t>Il reste à calculer le temps de vol afin de calculer la date et l'heure d'arrivée      http://www.csharp-examples.net/string-format-datetime/</t>
  </si>
  <si>
    <r>
      <t xml:space="preserve">  J'ai perdu du temps (10-15min) parce que j'essayais de "développer moi-même" l'ajout du temps de vol à la date de départ du vol alors qu'il y a déjà une fonction existante dateTime.AddHours() qui permet de le faire.                                                                        J'ai passé 6h30 à la place des 5h prévues, mais je reste dans les temps car l'ajout d'une ligne m'a pris moins de temps que prévu.                                                                 </t>
    </r>
    <r>
      <rPr>
        <u/>
        <sz val="11"/>
        <rFont val="Calibri"/>
        <family val="2"/>
        <scheme val="minor"/>
      </rPr>
      <t xml:space="preserve">https://msdn.microsoft.com/en-us/library/system.datetime.addhours(v=vs.110).aspx      </t>
    </r>
    <r>
      <rPr>
        <sz val="11"/>
        <rFont val="Calibri"/>
        <family val="2"/>
        <scheme val="minor"/>
      </rPr>
      <t xml:space="preserve"> </t>
    </r>
  </si>
  <si>
    <t>Ajout des tests unitaires déjà effectués</t>
  </si>
  <si>
    <t>Affichage des pilotes</t>
  </si>
  <si>
    <t>Les informations des pilotes s'affichent correctement, mais il faut réadapter les champs du datagridview à chaque fois, il faut donc que je me penche encore sur le sujet</t>
  </si>
  <si>
    <t>Entretient avec M. Tieche</t>
  </si>
  <si>
    <t>Si deux pilotes ont les mêmes noms et prénoms il faut être capable de les différencier. Si l'utilisateur se trompe lors d'une insertion, les données doivent pouvoir etre modifiée. Ajouter un champ type d'aéroport afin d'éviter la redondance (ex: aéroport internaitonal). Expliquer les conventions des liaisons reliant les différentes tables/entités dans le mld/mcd. Expliquer clairement les conventions de nommage, choix de la grandeur des champs ets pour le mld. Ajouter un temps total pour le journal de travail (supprimer les onglets non utilisés pour le rendu final). Rendre une version papier pour M. Tieche.</t>
  </si>
  <si>
    <t>Journal de travail, journal de bord</t>
  </si>
  <si>
    <t>Affichage des vols</t>
  </si>
  <si>
    <t>Affichage des lignes</t>
  </si>
  <si>
    <t>Perdu du temps sur une erreur "Exception thrown: 'System.InvalidOperationException' in MySql.Data.dll". Lors de la lecture dans la base de données. Une connexion est ouverte et donc le programme plante lorsque j'essaye d'ouvrir la connexion pour récupérer les données des lignes. Toutes mes méthodes qui communiquent avec la base de données ouvrent et ferment la connexion. Je n'ai pas trouvé d'ou venait le problème, mais je l'ai résolu temporairement en fermant la connexion avant de l'ouvrir dans la méthode qui posait problème.</t>
  </si>
  <si>
    <t>Tests unitaires, affichage vol et ligne + ajout dans la doc du projet</t>
  </si>
  <si>
    <t>Ajout des vacances à un pilote</t>
  </si>
  <si>
    <r>
      <t xml:space="preserve">J'ai perdu 30-40min parce que j'arrivais pas à insérer les vacances dans la base de données, une exception était retournée. J'ai d'abbord cru que c'était le format de la date qui ne passait pas, mais le format de la date insérée est le même que dans une autre méthode qui fonctionne. Au final le champ idVacation n'était pas auto incrémenté  ce qu'il fait que l'insert ne passait pas parce qu'il attendait un champ supplémentaire à ce que j'avais écrit. Après modification du .sql la méthode passe...                                 </t>
    </r>
    <r>
      <rPr>
        <u/>
        <sz val="11"/>
        <color theme="1"/>
        <rFont val="Calibri"/>
        <family val="2"/>
        <scheme val="minor"/>
      </rPr>
      <t xml:space="preserve">https://stackoverflow.com/questions/7657137/datagridview-full-row-selection-but-get-single-cell-value    </t>
    </r>
  </si>
  <si>
    <t xml:space="preserve">Pour l'instant je n'ai pas pu tester  les pilotes associés au vol </t>
  </si>
  <si>
    <t>Affichage des vacances</t>
  </si>
  <si>
    <t xml:space="preserve">https://stackoverflow.com/questions/1607336/calculate-difference-between-two-dates-number-of-days                                                                                                           https://stackoverflow.com/questions/5672862/check-if-datetime-instance-falls-in-between-other-two-datetime-objects         </t>
  </si>
  <si>
    <t>Perte de temps, parce que j'initialisais pas le paramètre que j'envoyais au formualire frmAffichageVacances, du coup la requete sql ne me retournait rien</t>
  </si>
  <si>
    <t>Tests unitaires ajout des vacances/planification des vacances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</si>
</sst>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u/>
      <sz val="11"/>
      <color theme="10"/>
      <name val="Calibri"/>
      <family val="2"/>
      <scheme val="minor"/>
    </font>
    <font>
      <sz val="11"/>
      <name val="Calibri"/>
      <family val="2"/>
      <scheme val="minor"/>
    </font>
    <font>
      <u/>
      <sz val="11"/>
      <name val="Calibri"/>
      <family val="2"/>
      <scheme val="minor"/>
    </font>
    <font>
      <u/>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6" fillId="0" borderId="0" applyNumberFormat="0" applyFill="0" applyBorder="0" applyAlignment="0" applyProtection="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0" fontId="6" fillId="0" borderId="1" xfId="1" applyBorder="1" applyAlignment="1" applyProtection="1">
      <alignment horizontal="left" vertical="center" wrapText="1"/>
      <protection locked="0"/>
    </xf>
    <xf numFmtId="0" fontId="7" fillId="0" borderId="1" xfId="1" applyFont="1" applyBorder="1" applyAlignment="1" applyProtection="1">
      <alignment horizontal="left" vertical="center" wrapText="1"/>
      <protection locked="0"/>
    </xf>
    <xf numFmtId="0" fontId="7" fillId="0" borderId="0" xfId="1" applyFont="1" applyAlignment="1" applyProtection="1">
      <alignment horizontal="left" vertical="center" wrapText="1"/>
      <protection locked="0"/>
    </xf>
    <xf numFmtId="2" fontId="0" fillId="0" borderId="0" xfId="0" applyNumberFormat="1" applyProtection="1">
      <protection locked="0"/>
    </xf>
    <xf numFmtId="0" fontId="6" fillId="0" borderId="0" xfId="1" applyAlignment="1" applyProtection="1">
      <alignment horizontal="left" vertical="center" wrapText="1"/>
      <protection locked="0"/>
    </xf>
    <xf numFmtId="0" fontId="3" fillId="0" borderId="0" xfId="0" applyFont="1" applyAlignment="1">
      <alignment horizontal="center"/>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stackoverflow.com/questions/1607336/calculate-difference-between-two-dates-number-of-days" TargetMode="External"/><Relationship Id="rId7" Type="http://schemas.openxmlformats.org/officeDocument/2006/relationships/ctrlProp" Target="../ctrlProps/ctrlProp1.xml"/><Relationship Id="rId2" Type="http://schemas.openxmlformats.org/officeDocument/2006/relationships/hyperlink" Target="https://stackoverflow.com/questions/14789773/inner-joins-with-2-foreign-keys-to-one-primary-key?utm_medium=organic&amp;utm_source=google_rich_qa&amp;utm_campaign=google_rich_qa" TargetMode="External"/><Relationship Id="rId1" Type="http://schemas.openxmlformats.org/officeDocument/2006/relationships/hyperlink" Target="https://msdn.microsoft.com/fr-fr/library/system.text.regularexpressions.regex(v=vs.110).aspx"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51"/>
  <sheetViews>
    <sheetView tabSelected="1" topLeftCell="A41" zoomScale="70" zoomScaleNormal="70" zoomScaleSheetLayoutView="115" workbookViewId="0">
      <selection activeCell="A50" sqref="A50"/>
    </sheetView>
  </sheetViews>
  <sheetFormatPr baseColWidth="10" defaultColWidth="9.140625" defaultRowHeight="15" x14ac:dyDescent="0.25"/>
  <cols>
    <col min="1" max="1" width="13.42578125" style="8" customWidth="1"/>
    <col min="2" max="2" width="12.42578125" style="20" customWidth="1"/>
    <col min="3" max="3" width="16.7109375" style="16" customWidth="1"/>
    <col min="4" max="4" width="17.140625" style="8" customWidth="1"/>
    <col min="5" max="5" width="84.85546875" style="17" bestFit="1" customWidth="1"/>
    <col min="6" max="6" width="75.140625" style="17" customWidth="1"/>
    <col min="7" max="16384" width="9.140625" style="11"/>
  </cols>
  <sheetData>
    <row r="1" spans="1:9" s="21" customFormat="1" ht="14.1" customHeight="1" x14ac:dyDescent="0.2">
      <c r="A1" s="29" t="s">
        <v>16</v>
      </c>
      <c r="B1" s="29"/>
      <c r="C1" s="29"/>
      <c r="D1" s="29"/>
      <c r="E1" s="29"/>
      <c r="F1" s="29"/>
    </row>
    <row r="2" spans="1:9" s="21" customFormat="1" ht="14.25" x14ac:dyDescent="0.2">
      <c r="A2" s="29"/>
      <c r="B2" s="29"/>
      <c r="C2" s="29"/>
      <c r="D2" s="29"/>
      <c r="E2" s="29"/>
      <c r="F2" s="29"/>
    </row>
    <row r="3" spans="1:9" s="21" customFormat="1" ht="24.95" customHeight="1" x14ac:dyDescent="0.2">
      <c r="D3" s="22"/>
      <c r="E3" s="22" t="s">
        <v>14</v>
      </c>
      <c r="F3" s="23" t="s">
        <v>15</v>
      </c>
    </row>
    <row r="6" spans="1:9" ht="24" customHeight="1" x14ac:dyDescent="0.25">
      <c r="A6" s="6" t="s">
        <v>1</v>
      </c>
      <c r="B6" s="18" t="s">
        <v>11</v>
      </c>
      <c r="C6" s="9" t="s">
        <v>2</v>
      </c>
      <c r="D6" s="6" t="s">
        <v>3</v>
      </c>
      <c r="E6" s="10" t="s">
        <v>0</v>
      </c>
      <c r="F6" s="10" t="s">
        <v>13</v>
      </c>
    </row>
    <row r="7" spans="1:9" ht="60" x14ac:dyDescent="0.25">
      <c r="A7" s="7">
        <v>43228</v>
      </c>
      <c r="B7" s="19">
        <f t="shared" ref="B7" si="0">WEEKNUM(A7)</f>
        <v>19</v>
      </c>
      <c r="C7" s="12">
        <v>0.83333000000000002</v>
      </c>
      <c r="D7" s="13" t="s">
        <v>17</v>
      </c>
      <c r="E7" s="14" t="s">
        <v>18</v>
      </c>
      <c r="F7" s="14" t="s">
        <v>19</v>
      </c>
      <c r="I7" s="15"/>
    </row>
    <row r="8" spans="1:9" x14ac:dyDescent="0.25">
      <c r="A8" s="7">
        <v>43228</v>
      </c>
      <c r="B8" s="19">
        <f t="shared" ref="B8" si="1">WEEKNUM(A8)</f>
        <v>19</v>
      </c>
      <c r="C8" s="12">
        <v>2</v>
      </c>
      <c r="D8" s="13" t="s">
        <v>5</v>
      </c>
      <c r="E8" s="14" t="s">
        <v>20</v>
      </c>
      <c r="F8" s="14"/>
      <c r="I8" s="15"/>
    </row>
    <row r="9" spans="1:9" ht="30" x14ac:dyDescent="0.25">
      <c r="A9" s="7">
        <v>43228</v>
      </c>
      <c r="B9" s="19">
        <f t="shared" ref="B9" si="2">WEEKNUM(A9)</f>
        <v>19</v>
      </c>
      <c r="C9" s="12">
        <v>0.16666600000000001</v>
      </c>
      <c r="D9" s="13" t="s">
        <v>5</v>
      </c>
      <c r="E9" s="14" t="s">
        <v>21</v>
      </c>
      <c r="F9" s="14" t="s">
        <v>22</v>
      </c>
    </row>
    <row r="10" spans="1:9" x14ac:dyDescent="0.25">
      <c r="A10" s="7">
        <v>43228</v>
      </c>
      <c r="B10" s="19">
        <f t="shared" ref="B10" si="3">WEEKNUM(A10)</f>
        <v>19</v>
      </c>
      <c r="C10" s="12">
        <v>3</v>
      </c>
      <c r="D10" s="13" t="s">
        <v>5</v>
      </c>
      <c r="E10" s="14" t="s">
        <v>23</v>
      </c>
      <c r="F10" s="14"/>
    </row>
    <row r="11" spans="1:9" x14ac:dyDescent="0.25">
      <c r="A11" s="7">
        <v>43228</v>
      </c>
      <c r="B11" s="19">
        <f t="shared" ref="B11" si="4">WEEKNUM(A11)</f>
        <v>19</v>
      </c>
      <c r="C11" s="12">
        <v>0.33300000000000002</v>
      </c>
      <c r="D11" s="13" t="s">
        <v>5</v>
      </c>
      <c r="E11" s="14" t="s">
        <v>24</v>
      </c>
      <c r="F11" s="14"/>
    </row>
    <row r="12" spans="1:9" x14ac:dyDescent="0.25">
      <c r="A12" s="7">
        <v>43228</v>
      </c>
      <c r="B12" s="19">
        <f t="shared" ref="B12" si="5">WEEKNUM(A12)</f>
        <v>19</v>
      </c>
      <c r="C12" s="12">
        <v>0.42</v>
      </c>
      <c r="D12" s="13" t="s">
        <v>8</v>
      </c>
      <c r="E12" s="14" t="s">
        <v>25</v>
      </c>
      <c r="F12" s="14" t="s">
        <v>26</v>
      </c>
    </row>
    <row r="13" spans="1:9" x14ac:dyDescent="0.25">
      <c r="A13" s="7">
        <v>43229</v>
      </c>
      <c r="B13" s="19">
        <f t="shared" ref="B13" si="6">WEEKNUM(A13)</f>
        <v>19</v>
      </c>
      <c r="C13" s="12">
        <v>1.6666000000000001</v>
      </c>
      <c r="D13" s="13" t="s">
        <v>5</v>
      </c>
      <c r="E13" s="14" t="s">
        <v>27</v>
      </c>
      <c r="F13" s="14"/>
    </row>
    <row r="14" spans="1:9" x14ac:dyDescent="0.25">
      <c r="A14" s="7">
        <v>43229</v>
      </c>
      <c r="B14" s="19">
        <f t="shared" ref="B14" si="7">WEEKNUM(A14)</f>
        <v>19</v>
      </c>
      <c r="C14" s="12">
        <v>0.58333000000000002</v>
      </c>
      <c r="D14" s="13" t="s">
        <v>8</v>
      </c>
      <c r="E14" s="14" t="s">
        <v>28</v>
      </c>
      <c r="F14" s="14"/>
    </row>
    <row r="15" spans="1:9" x14ac:dyDescent="0.25">
      <c r="A15" s="7">
        <v>43229</v>
      </c>
      <c r="B15" s="19">
        <f t="shared" ref="B15" si="8">WEEKNUM(A15)</f>
        <v>19</v>
      </c>
      <c r="C15" s="12">
        <v>0.08</v>
      </c>
      <c r="D15" s="13" t="s">
        <v>5</v>
      </c>
      <c r="E15" s="14" t="s">
        <v>29</v>
      </c>
      <c r="F15" s="14" t="s">
        <v>30</v>
      </c>
    </row>
    <row r="16" spans="1:9" x14ac:dyDescent="0.25">
      <c r="A16" s="7">
        <v>43229</v>
      </c>
      <c r="B16" s="19">
        <f t="shared" ref="B16" si="9">WEEKNUM(A16)</f>
        <v>19</v>
      </c>
      <c r="C16" s="12">
        <v>1.4166000000000001</v>
      </c>
      <c r="D16" s="13" t="s">
        <v>5</v>
      </c>
      <c r="E16" s="14" t="s">
        <v>31</v>
      </c>
      <c r="F16" s="14"/>
    </row>
    <row r="17" spans="1:6" ht="75" x14ac:dyDescent="0.25">
      <c r="A17" s="7">
        <v>43229</v>
      </c>
      <c r="B17" s="19">
        <f t="shared" ref="B17" si="10">WEEKNUM(A17)</f>
        <v>19</v>
      </c>
      <c r="C17" s="12">
        <v>2.25</v>
      </c>
      <c r="D17" s="13" t="s">
        <v>5</v>
      </c>
      <c r="E17" s="14" t="s">
        <v>31</v>
      </c>
      <c r="F17" s="14" t="s">
        <v>37</v>
      </c>
    </row>
    <row r="18" spans="1:6" ht="30" x14ac:dyDescent="0.25">
      <c r="A18" s="7">
        <v>43234</v>
      </c>
      <c r="B18" s="19">
        <f t="shared" ref="B18" si="11">WEEKNUM(A18)</f>
        <v>20</v>
      </c>
      <c r="C18" s="12">
        <v>0.5</v>
      </c>
      <c r="D18" s="13" t="s">
        <v>5</v>
      </c>
      <c r="E18" s="14" t="s">
        <v>33</v>
      </c>
      <c r="F18" s="14" t="s">
        <v>38</v>
      </c>
    </row>
    <row r="19" spans="1:6" x14ac:dyDescent="0.25">
      <c r="A19" s="7">
        <v>43234</v>
      </c>
      <c r="B19" s="19">
        <f t="shared" ref="B19:B20" si="12">WEEKNUM(A19)</f>
        <v>20</v>
      </c>
      <c r="C19" s="12">
        <v>1</v>
      </c>
      <c r="D19" s="13" t="s">
        <v>8</v>
      </c>
      <c r="E19" s="14" t="s">
        <v>32</v>
      </c>
      <c r="F19" s="14"/>
    </row>
    <row r="20" spans="1:6" ht="90" x14ac:dyDescent="0.25">
      <c r="A20" s="7">
        <v>43234</v>
      </c>
      <c r="B20" s="19">
        <f t="shared" si="12"/>
        <v>20</v>
      </c>
      <c r="C20" s="12">
        <v>1</v>
      </c>
      <c r="D20" s="13" t="s">
        <v>5</v>
      </c>
      <c r="E20" s="14" t="s">
        <v>33</v>
      </c>
      <c r="F20" s="14" t="s">
        <v>39</v>
      </c>
    </row>
    <row r="21" spans="1:6" x14ac:dyDescent="0.25">
      <c r="A21" s="7">
        <v>43234</v>
      </c>
      <c r="B21" s="19">
        <f t="shared" ref="B21" si="13">WEEKNUM(A21)</f>
        <v>20</v>
      </c>
      <c r="C21" s="12">
        <v>1</v>
      </c>
      <c r="D21" s="13" t="s">
        <v>8</v>
      </c>
      <c r="E21" s="14" t="s">
        <v>34</v>
      </c>
      <c r="F21" s="14" t="s">
        <v>35</v>
      </c>
    </row>
    <row r="22" spans="1:6" ht="30" x14ac:dyDescent="0.25">
      <c r="A22" s="7">
        <v>43234</v>
      </c>
      <c r="B22" s="19">
        <f t="shared" ref="B22" si="14">WEEKNUM(A22)</f>
        <v>20</v>
      </c>
      <c r="C22" s="12">
        <v>1</v>
      </c>
      <c r="D22" s="13" t="s">
        <v>8</v>
      </c>
      <c r="E22" s="14" t="s">
        <v>36</v>
      </c>
      <c r="F22" s="14" t="s">
        <v>40</v>
      </c>
    </row>
    <row r="23" spans="1:6" ht="30" x14ac:dyDescent="0.25">
      <c r="A23" s="7">
        <v>43235</v>
      </c>
      <c r="B23" s="19">
        <f t="shared" ref="B23" si="15">WEEKNUM(A23)</f>
        <v>20</v>
      </c>
      <c r="C23" s="12">
        <v>0.1666667</v>
      </c>
      <c r="D23" s="13" t="s">
        <v>17</v>
      </c>
      <c r="E23" s="14" t="s">
        <v>41</v>
      </c>
      <c r="F23" s="14" t="s">
        <v>42</v>
      </c>
    </row>
    <row r="24" spans="1:6" x14ac:dyDescent="0.25">
      <c r="A24" s="7">
        <v>43235</v>
      </c>
      <c r="B24" s="19">
        <f t="shared" ref="B24" si="16">WEEKNUM(A24)</f>
        <v>20</v>
      </c>
      <c r="C24" s="12">
        <v>0.33</v>
      </c>
      <c r="D24" s="13" t="s">
        <v>8</v>
      </c>
      <c r="E24" s="14" t="s">
        <v>43</v>
      </c>
      <c r="F24" s="14"/>
    </row>
    <row r="25" spans="1:6" x14ac:dyDescent="0.25">
      <c r="A25" s="7">
        <v>43235</v>
      </c>
      <c r="B25" s="19">
        <f t="shared" ref="B25" si="17">WEEKNUM(A25)</f>
        <v>20</v>
      </c>
      <c r="C25" s="12">
        <v>8.3333299999999999E-2</v>
      </c>
      <c r="D25" s="13" t="s">
        <v>17</v>
      </c>
      <c r="E25" s="14" t="s">
        <v>44</v>
      </c>
      <c r="F25" s="14" t="s">
        <v>45</v>
      </c>
    </row>
    <row r="26" spans="1:6" x14ac:dyDescent="0.25">
      <c r="A26" s="7">
        <v>43235</v>
      </c>
      <c r="B26" s="19">
        <f t="shared" ref="B26" si="18">WEEKNUM(A26)</f>
        <v>20</v>
      </c>
      <c r="C26" s="12">
        <v>3</v>
      </c>
      <c r="D26" s="13" t="s">
        <v>8</v>
      </c>
      <c r="E26" s="14" t="s">
        <v>46</v>
      </c>
      <c r="F26" s="14" t="s">
        <v>49</v>
      </c>
    </row>
    <row r="27" spans="1:6" ht="75" x14ac:dyDescent="0.25">
      <c r="A27" s="7">
        <v>43235</v>
      </c>
      <c r="B27" s="19">
        <f t="shared" ref="B27" si="19">WEEKNUM(A27)</f>
        <v>20</v>
      </c>
      <c r="C27" s="12">
        <v>0.17</v>
      </c>
      <c r="D27" s="13" t="s">
        <v>8</v>
      </c>
      <c r="E27" s="14" t="s">
        <v>47</v>
      </c>
      <c r="F27" s="14" t="s">
        <v>48</v>
      </c>
    </row>
    <row r="28" spans="1:6" x14ac:dyDescent="0.25">
      <c r="A28" s="7">
        <v>43235</v>
      </c>
      <c r="B28" s="19">
        <f t="shared" ref="B28" si="20">WEEKNUM(A28)</f>
        <v>20</v>
      </c>
      <c r="C28" s="12">
        <v>0.25</v>
      </c>
      <c r="D28" s="13" t="s">
        <v>6</v>
      </c>
      <c r="E28" s="14" t="s">
        <v>50</v>
      </c>
      <c r="F28" s="14"/>
    </row>
    <row r="29" spans="1:6" ht="45" x14ac:dyDescent="0.25">
      <c r="A29" s="7">
        <v>43235</v>
      </c>
      <c r="B29" s="19">
        <f t="shared" ref="B29" si="21">WEEKNUM(A29)</f>
        <v>20</v>
      </c>
      <c r="C29" s="12">
        <v>1</v>
      </c>
      <c r="D29" s="13" t="s">
        <v>8</v>
      </c>
      <c r="E29" s="14" t="s">
        <v>51</v>
      </c>
      <c r="F29" s="14" t="s">
        <v>52</v>
      </c>
    </row>
    <row r="30" spans="1:6" ht="30" x14ac:dyDescent="0.25">
      <c r="A30" s="7">
        <v>43235</v>
      </c>
      <c r="B30" s="19">
        <f t="shared" ref="B30" si="22">WEEKNUM(A30)</f>
        <v>20</v>
      </c>
      <c r="C30" s="12">
        <v>0.25</v>
      </c>
      <c r="D30" s="13" t="s">
        <v>8</v>
      </c>
      <c r="E30" s="14" t="s">
        <v>53</v>
      </c>
      <c r="F30" s="14" t="s">
        <v>54</v>
      </c>
    </row>
    <row r="31" spans="1:6" x14ac:dyDescent="0.25">
      <c r="A31" s="7">
        <v>43235</v>
      </c>
      <c r="B31" s="19">
        <f t="shared" ref="B31" si="23">WEEKNUM(A31)</f>
        <v>20</v>
      </c>
      <c r="C31" s="12">
        <v>1.5</v>
      </c>
      <c r="D31" s="13" t="s">
        <v>6</v>
      </c>
      <c r="E31" s="14" t="s">
        <v>55</v>
      </c>
      <c r="F31" s="14" t="s">
        <v>56</v>
      </c>
    </row>
    <row r="32" spans="1:6" ht="45" x14ac:dyDescent="0.25">
      <c r="A32" s="7">
        <v>43236</v>
      </c>
      <c r="B32" s="19">
        <f t="shared" ref="B32" si="24">WEEKNUM(A32)</f>
        <v>20</v>
      </c>
      <c r="C32" s="12">
        <v>0.5</v>
      </c>
      <c r="D32" s="13" t="s">
        <v>8</v>
      </c>
      <c r="E32" s="14" t="s">
        <v>57</v>
      </c>
      <c r="F32" s="14" t="s">
        <v>58</v>
      </c>
    </row>
    <row r="33" spans="1:9" x14ac:dyDescent="0.25">
      <c r="A33" s="7">
        <v>43236</v>
      </c>
      <c r="B33" s="19">
        <f t="shared" ref="B33" si="25">WEEKNUM(A33)</f>
        <v>20</v>
      </c>
      <c r="C33" s="12">
        <v>0.5</v>
      </c>
      <c r="D33" s="13" t="s">
        <v>8</v>
      </c>
      <c r="E33" s="14" t="s">
        <v>57</v>
      </c>
      <c r="F33" s="24"/>
    </row>
    <row r="34" spans="1:9" ht="30" x14ac:dyDescent="0.25">
      <c r="A34" s="7">
        <v>43236</v>
      </c>
      <c r="B34" s="19">
        <f t="shared" ref="B34" si="26">WEEKNUM(A34)</f>
        <v>20</v>
      </c>
      <c r="C34" s="12">
        <v>2.41</v>
      </c>
      <c r="D34" s="13" t="s">
        <v>6</v>
      </c>
      <c r="E34" s="14" t="s">
        <v>60</v>
      </c>
      <c r="F34" s="24" t="s">
        <v>59</v>
      </c>
    </row>
    <row r="35" spans="1:9" ht="60" x14ac:dyDescent="0.25">
      <c r="A35" s="7">
        <v>43236</v>
      </c>
      <c r="B35" s="19">
        <f t="shared" ref="B35" si="27">WEEKNUM(A35)</f>
        <v>20</v>
      </c>
      <c r="C35" s="12">
        <v>1.5</v>
      </c>
      <c r="D35" s="13" t="s">
        <v>6</v>
      </c>
      <c r="E35" s="14" t="s">
        <v>61</v>
      </c>
      <c r="F35" s="24" t="s">
        <v>64</v>
      </c>
    </row>
    <row r="36" spans="1:9" x14ac:dyDescent="0.25">
      <c r="A36" s="7">
        <v>43236</v>
      </c>
      <c r="B36" s="19">
        <f t="shared" ref="B36" si="28">WEEKNUM(A36)</f>
        <v>20</v>
      </c>
      <c r="C36" s="12">
        <v>2.5</v>
      </c>
      <c r="D36" s="13" t="s">
        <v>6</v>
      </c>
      <c r="E36" s="14" t="s">
        <v>62</v>
      </c>
      <c r="F36" s="25" t="s">
        <v>63</v>
      </c>
    </row>
    <row r="37" spans="1:9" ht="30" x14ac:dyDescent="0.25">
      <c r="A37" s="7">
        <v>43237</v>
      </c>
      <c r="B37" s="19">
        <f t="shared" ref="B37" si="29">WEEKNUM(A37)</f>
        <v>20</v>
      </c>
      <c r="C37" s="12">
        <v>2.25</v>
      </c>
      <c r="D37" s="13" t="s">
        <v>6</v>
      </c>
      <c r="E37" s="14" t="s">
        <v>62</v>
      </c>
      <c r="F37" s="25" t="s">
        <v>65</v>
      </c>
    </row>
    <row r="38" spans="1:9" ht="105" x14ac:dyDescent="0.25">
      <c r="A38" s="7">
        <v>43237</v>
      </c>
      <c r="B38" s="19">
        <f t="shared" ref="B38" si="30">WEEKNUM(A38)</f>
        <v>20</v>
      </c>
      <c r="C38" s="12">
        <v>1.833</v>
      </c>
      <c r="D38" s="13" t="s">
        <v>6</v>
      </c>
      <c r="E38" s="14" t="s">
        <v>62</v>
      </c>
      <c r="F38" s="26" t="s">
        <v>66</v>
      </c>
    </row>
    <row r="39" spans="1:9" x14ac:dyDescent="0.25">
      <c r="A39" s="7">
        <v>43237</v>
      </c>
      <c r="B39" s="19">
        <f t="shared" ref="B39" si="31">WEEKNUM(A39)</f>
        <v>20</v>
      </c>
      <c r="C39" s="12">
        <v>0.08</v>
      </c>
      <c r="D39" s="13" t="s">
        <v>8</v>
      </c>
      <c r="E39" s="14" t="s">
        <v>67</v>
      </c>
      <c r="F39" s="14"/>
      <c r="I39" s="27">
        <f>SUM(C7:C44)</f>
        <v>41.163525999999997</v>
      </c>
    </row>
    <row r="40" spans="1:9" ht="45" x14ac:dyDescent="0.25">
      <c r="A40" s="7">
        <v>43237</v>
      </c>
      <c r="B40" s="19">
        <f t="shared" ref="B40" si="32">WEEKNUM(A40)</f>
        <v>20</v>
      </c>
      <c r="C40" s="12">
        <v>1.08</v>
      </c>
      <c r="D40" s="13" t="s">
        <v>6</v>
      </c>
      <c r="E40" s="14" t="s">
        <v>68</v>
      </c>
      <c r="F40" s="14" t="s">
        <v>69</v>
      </c>
    </row>
    <row r="41" spans="1:9" ht="120" x14ac:dyDescent="0.25">
      <c r="A41" s="7">
        <v>43242</v>
      </c>
      <c r="B41" s="19">
        <f t="shared" ref="B41" si="33">WEEKNUM(A41)</f>
        <v>21</v>
      </c>
      <c r="C41" s="12">
        <v>1.2</v>
      </c>
      <c r="D41" s="13" t="s">
        <v>17</v>
      </c>
      <c r="E41" s="14" t="s">
        <v>70</v>
      </c>
      <c r="F41" s="14" t="s">
        <v>71</v>
      </c>
    </row>
    <row r="42" spans="1:9" ht="53.25" customHeight="1" x14ac:dyDescent="0.25">
      <c r="A42" s="7">
        <v>43242</v>
      </c>
      <c r="B42" s="19">
        <f t="shared" ref="B42" si="34">WEEKNUM(A42)</f>
        <v>21</v>
      </c>
      <c r="C42" s="12">
        <v>0.2</v>
      </c>
      <c r="D42" s="13" t="s">
        <v>8</v>
      </c>
      <c r="E42" s="14" t="s">
        <v>72</v>
      </c>
      <c r="F42" s="14"/>
    </row>
    <row r="43" spans="1:9" x14ac:dyDescent="0.25">
      <c r="A43" s="7">
        <v>43242</v>
      </c>
      <c r="B43" s="19">
        <f t="shared" ref="B43" si="35">WEEKNUM(A43)</f>
        <v>21</v>
      </c>
      <c r="C43" s="12">
        <v>1.111</v>
      </c>
      <c r="D43" s="13" t="s">
        <v>6</v>
      </c>
      <c r="E43" s="14" t="s">
        <v>73</v>
      </c>
      <c r="F43" s="14" t="s">
        <v>79</v>
      </c>
    </row>
    <row r="44" spans="1:9" ht="120" x14ac:dyDescent="0.25">
      <c r="A44" s="7">
        <v>43242</v>
      </c>
      <c r="B44" s="19">
        <f t="shared" ref="B44" si="36">WEEKNUM(A44)</f>
        <v>21</v>
      </c>
      <c r="C44" s="12">
        <v>2</v>
      </c>
      <c r="D44" s="13" t="s">
        <v>6</v>
      </c>
      <c r="E44" s="14" t="s">
        <v>74</v>
      </c>
      <c r="F44" s="14" t="s">
        <v>75</v>
      </c>
    </row>
    <row r="45" spans="1:9" x14ac:dyDescent="0.25">
      <c r="A45" s="7">
        <v>43242</v>
      </c>
      <c r="B45" s="19">
        <f t="shared" ref="B45" si="37">WEEKNUM(A45)</f>
        <v>21</v>
      </c>
      <c r="C45" s="12">
        <v>0.16666</v>
      </c>
      <c r="D45" s="13" t="s">
        <v>8</v>
      </c>
      <c r="E45" s="14" t="s">
        <v>76</v>
      </c>
      <c r="F45" s="14"/>
    </row>
    <row r="46" spans="1:9" ht="135" x14ac:dyDescent="0.25">
      <c r="A46" s="7">
        <v>43242</v>
      </c>
      <c r="B46" s="19">
        <f t="shared" ref="B46" si="38">WEEKNUM(A46)</f>
        <v>21</v>
      </c>
      <c r="C46" s="12">
        <v>2.0830000000000002</v>
      </c>
      <c r="D46" s="13" t="s">
        <v>6</v>
      </c>
      <c r="E46" s="14" t="s">
        <v>77</v>
      </c>
      <c r="F46" s="14" t="s">
        <v>78</v>
      </c>
    </row>
    <row r="47" spans="1:9" ht="60" x14ac:dyDescent="0.25">
      <c r="A47" s="7">
        <v>43243</v>
      </c>
      <c r="B47" s="19">
        <f t="shared" ref="B47" si="39">WEEKNUM(A47)</f>
        <v>21</v>
      </c>
      <c r="C47" s="12">
        <v>2.25</v>
      </c>
      <c r="D47" s="13" t="s">
        <v>6</v>
      </c>
      <c r="E47" s="14" t="s">
        <v>77</v>
      </c>
      <c r="F47" s="24" t="s">
        <v>81</v>
      </c>
    </row>
    <row r="48" spans="1:9" ht="30" x14ac:dyDescent="0.25">
      <c r="A48" s="7">
        <v>43243</v>
      </c>
      <c r="B48" s="19">
        <f t="shared" ref="B48" si="40">WEEKNUM(A48)</f>
        <v>21</v>
      </c>
      <c r="C48" s="12">
        <v>0.66666000000000003</v>
      </c>
      <c r="D48" s="13" t="s">
        <v>6</v>
      </c>
      <c r="E48" s="14" t="s">
        <v>80</v>
      </c>
      <c r="F48" s="14" t="s">
        <v>82</v>
      </c>
    </row>
    <row r="49" spans="1:6" x14ac:dyDescent="0.25">
      <c r="A49" s="7">
        <v>43243</v>
      </c>
      <c r="B49" s="19">
        <f t="shared" ref="B49" si="41">WEEKNUM(A49)</f>
        <v>21</v>
      </c>
      <c r="C49" s="12">
        <v>0.25</v>
      </c>
      <c r="D49" s="13" t="s">
        <v>8</v>
      </c>
      <c r="E49" s="14" t="s">
        <v>83</v>
      </c>
      <c r="F49" s="14"/>
    </row>
    <row r="51" spans="1:6" x14ac:dyDescent="0.25">
      <c r="F51" s="28"/>
    </row>
  </sheetData>
  <sheetProtection selectLockedCells="1"/>
  <mergeCells count="1">
    <mergeCell ref="A1:F2"/>
  </mergeCells>
  <hyperlinks>
    <hyperlink ref="F34" r:id="rId1"/>
    <hyperlink ref="F35" r:id="rId2"/>
    <hyperlink ref="F38" display="  J'ai perdu du temps (10-15min) parce que j'essayais de &quot;développer moi-même&quot; l'ajout du temps de vol à la date de départ du vol alors qu'il y a déjà une fonction existante dateTime.AddHours() qui permet de le faire.                                      "/>
    <hyperlink ref="F47" r:id="rId3" display="https://stackoverflow.com/questions/1607336/calculate-difference-between-two-dates-number-of-days                                                                                                                    "/>
  </hyperlinks>
  <pageMargins left="0.7" right="0.7" top="0.75" bottom="0.75" header="0.3" footer="0.3"/>
  <pageSetup paperSize="9" scale="3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6" r:id="rId7"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10.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3" sqref="C13"/>
    </sheetView>
  </sheetViews>
  <sheetFormatPr baseColWidth="10" defaultRowHeight="15" x14ac:dyDescent="0.25"/>
  <cols>
    <col min="1" max="1" width="16.5703125"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2018-05-23T13:57:25Z</dcterms:modified>
</cp:coreProperties>
</file>